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January 2026" sheetId="1" state="visible" r:id="rId3"/>
    <sheet name="February 2026" sheetId="2" state="visible" r:id="rId4"/>
    <sheet name="March 2026" sheetId="3" state="visible" r:id="rId5"/>
    <sheet name="April 2026" sheetId="4" state="visible" r:id="rId6"/>
    <sheet name="May 2026" sheetId="5" state="visible" r:id="rId7"/>
    <sheet name="June 2026" sheetId="6" state="visible" r:id="rId8"/>
    <sheet name="July 2026" sheetId="7" state="visible" r:id="rId9"/>
    <sheet name="August 2026" sheetId="8" state="visible" r:id="rId10"/>
    <sheet name="September 2026" sheetId="9" state="visible" r:id="rId11"/>
    <sheet name="October 2026" sheetId="10" state="visible" r:id="rId12"/>
    <sheet name="November 2026" sheetId="11" state="visible" r:id="rId13"/>
    <sheet name="December 2026" sheetId="12" state="visible" r:id="rId14"/>
    <sheet name="Total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<sst xmlns="http://schemas.openxmlformats.org/spreadsheetml/2006/main" count="1526" uniqueCount="141">
  <si>
    <t xml:space="preserve">2026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</si>
  <si>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</si>
  <si>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</si>
  <si>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</si>
  <si>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</si>
  <si>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</si>
  <si>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Jan</t>
  </si>
  <si>
    <t xml:space="preserve">Absences this month</t>
  </si>
  <si>
    <t xml:space="preserve">Absence type</t>
  </si>
  <si>
    <t xml:space="preserve">Code</t>
  </si>
  <si>
    <t xml:space="preserve">Deduction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</si>
  <si>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</si>
  <si>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</si>
  <si>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</si>
  <si>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</si>
  <si>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</si>
  <si>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</si>
  <si>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</si>
  <si>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Patience Tsikudo</t>
  </si>
  <si>
    <t xml:space="preserve">V</t>
  </si>
  <si>
    <t xml:space="preserve">H</t>
  </si>
  <si>
    <t xml:space="preserve">Holiday</t>
  </si>
  <si>
    <t xml:space="preserve">Emmanuel Tetteh</t>
  </si>
  <si>
    <t xml:space="preserve">I</t>
  </si>
  <si>
    <t xml:space="preserve">Half Day (morning)</t>
  </si>
  <si>
    <t xml:space="preserve">H1</t>
  </si>
  <si>
    <t xml:space="preserve">Solomon Sefah</t>
  </si>
  <si>
    <t xml:space="preserve">Half Day (afternoon)</t>
  </si>
  <si>
    <t xml:space="preserve">H2</t>
  </si>
  <si>
    <t xml:space="preserve">Maame Lankar De Veer</t>
  </si>
  <si>
    <t xml:space="preserve">S</t>
  </si>
  <si>
    <t xml:space="preserve">Quarter day</t>
  </si>
  <si>
    <t xml:space="preserve">Q</t>
  </si>
  <si>
    <t xml:space="preserve">Joel Akwesi Opoku </t>
  </si>
  <si>
    <t xml:space="preserve">Inactive</t>
  </si>
  <si>
    <t xml:space="preserve">Samuel Napaa</t>
  </si>
  <si>
    <t xml:space="preserve">Sickness</t>
  </si>
  <si>
    <t xml:space="preserve">Cyril Elorm Dzamaklu</t>
  </si>
  <si>
    <t xml:space="preserve">Maternity/Paternity</t>
  </si>
  <si>
    <t xml:space="preserve">M</t>
  </si>
  <si>
    <t xml:space="preserve">Edwin Sedem Lawuiekpor</t>
  </si>
  <si>
    <t xml:space="preserve">Compassionate </t>
  </si>
  <si>
    <t xml:space="preserve">C</t>
  </si>
  <si>
    <t xml:space="preserve">Emmanuel Quansah</t>
  </si>
  <si>
    <t xml:space="preserve">Vacation</t>
  </si>
  <si>
    <t xml:space="preserve">Ben Oni Dankyi Ofosu</t>
  </si>
  <si>
    <t xml:space="preserve">Absent/No Show</t>
  </si>
  <si>
    <t xml:space="preserve">A</t>
  </si>
  <si>
    <t xml:space="preserve">Wahab Amoako Domson</t>
  </si>
  <si>
    <t xml:space="preserve">Emmanuel Quarshie</t>
  </si>
  <si>
    <t xml:space="preserve">Ethel Prempeh</t>
  </si>
  <si>
    <t xml:space="preserve">`</t>
  </si>
  <si>
    <t xml:space="preserve">Isaac Appiah</t>
  </si>
  <si>
    <t xml:space="preserve">W5</t>
  </si>
  <si>
    <t xml:space="preserve">Week 6</t>
  </si>
  <si>
    <t xml:space="preserve">Week 7</t>
  </si>
  <si>
    <t xml:space="preserve">Week 8</t>
  </si>
  <si>
    <t xml:space="preserve">Week 9</t>
  </si>
  <si>
    <t xml:space="preserve">Feb</t>
  </si>
  <si>
    <t xml:space="preserve">W9</t>
  </si>
  <si>
    <t xml:space="preserve">Week 10</t>
  </si>
  <si>
    <t xml:space="preserve">Week 11</t>
  </si>
  <si>
    <t xml:space="preserve">Week 12</t>
  </si>
  <si>
    <t xml:space="preserve">Week 13</t>
  </si>
  <si>
    <t xml:space="preserve">Week 14</t>
  </si>
  <si>
    <t xml:space="preserve">Mar</t>
  </si>
  <si>
    <t xml:space="preserve">M </t>
  </si>
  <si>
    <t xml:space="preserve">Week 15</t>
  </si>
  <si>
    <t xml:space="preserve">Week 16</t>
  </si>
  <si>
    <t xml:space="preserve">Week 17</t>
  </si>
  <si>
    <t xml:space="preserve">Week 18</t>
  </si>
  <si>
    <t xml:space="preserve">Apr</t>
  </si>
  <si>
    <t xml:space="preserve">A </t>
  </si>
  <si>
    <t xml:space="preserve">Week 19</t>
  </si>
  <si>
    <t xml:space="preserve">Week 20</t>
  </si>
  <si>
    <t xml:space="preserve">Week 21</t>
  </si>
  <si>
    <t xml:space="preserve">Week 22</t>
  </si>
  <si>
    <t xml:space="preserve">May</t>
  </si>
  <si>
    <t xml:space="preserve">Compassionate Leave</t>
  </si>
  <si>
    <t xml:space="preserve">Gerald Agyapong</t>
  </si>
  <si>
    <t xml:space="preserve">Week 23</t>
  </si>
  <si>
    <t xml:space="preserve">Week 24</t>
  </si>
  <si>
    <t xml:space="preserve">Week 25</t>
  </si>
  <si>
    <t xml:space="preserve">Week 26</t>
  </si>
  <si>
    <t xml:space="preserve">Week 27</t>
  </si>
  <si>
    <t xml:space="preserve">Jun</t>
  </si>
  <si>
    <t xml:space="preserve">Manage leave across multiple departments with real-time updates and visibility using our cloud-based leave planner.</t>
  </si>
  <si>
    <t xml:space="preserve">https://absentia.io/staff-holiday-booking-system</t>
  </si>
  <si>
    <t xml:space="preserve">Week 28</t>
  </si>
  <si>
    <t xml:space="preserve">Week 29</t>
  </si>
  <si>
    <t xml:space="preserve">Week 30</t>
  </si>
  <si>
    <t xml:space="preserve">Week 31</t>
  </si>
  <si>
    <t xml:space="preserve">Jul</t>
  </si>
  <si>
    <t xml:space="preserve">Sync your team's holidays to your Outlook/Google calendar using our online leave tracker.</t>
  </si>
  <si>
    <t xml:space="preserve">Week 32</t>
  </si>
  <si>
    <t xml:space="preserve">Week 33</t>
  </si>
  <si>
    <t xml:space="preserve">Week 34</t>
  </si>
  <si>
    <t xml:space="preserve">Week 35</t>
  </si>
  <si>
    <t xml:space="preserve">W36</t>
  </si>
  <si>
    <t xml:space="preserve">Aug</t>
  </si>
  <si>
    <t xml:space="preserve">With our holiday planner system, employees can view their team's booked leave and coordinate their holidays better.</t>
  </si>
  <si>
    <t xml:space="preserve">Week 36</t>
  </si>
  <si>
    <t xml:space="preserve">Week 37</t>
  </si>
  <si>
    <t xml:space="preserve">Week 38</t>
  </si>
  <si>
    <t xml:space="preserve">Week 39</t>
  </si>
  <si>
    <t xml:space="preserve">Week 40</t>
  </si>
  <si>
    <t xml:space="preserve">Sep</t>
  </si>
  <si>
    <t xml:space="preserve">Complex annual leave setup? Our online system auto calculates accrual, carry over, and custom leave years per employee.</t>
  </si>
  <si>
    <t xml:space="preserve">Week 41</t>
  </si>
  <si>
    <t xml:space="preserve">Week 42</t>
  </si>
  <si>
    <t xml:space="preserve">Week 43</t>
  </si>
  <si>
    <t xml:space="preserve">Week 44</t>
  </si>
  <si>
    <t xml:space="preserve">Oct</t>
  </si>
  <si>
    <t xml:space="preserve">Employees can book, get approval, and view their absences easier from any device with our online leave planner system.</t>
  </si>
  <si>
    <t xml:space="preserve">W44</t>
  </si>
  <si>
    <t xml:space="preserve">Week 45</t>
  </si>
  <si>
    <t xml:space="preserve">Week 46</t>
  </si>
  <si>
    <t xml:space="preserve">Week 47</t>
  </si>
  <si>
    <t xml:space="preserve">Week 48</t>
  </si>
  <si>
    <t xml:space="preserve">W49</t>
  </si>
  <si>
    <t xml:space="preserve">Nov</t>
  </si>
  <si>
    <t xml:space="preserve">Managers save time when employees book their own holidays, have easy access to view their bookings, and analyse their remaining allowance. Try it out:</t>
  </si>
  <si>
    <t xml:space="preserve">Week 49</t>
  </si>
  <si>
    <t xml:space="preserve">Week 50</t>
  </si>
  <si>
    <t xml:space="preserve">Week 51</t>
  </si>
  <si>
    <t xml:space="preserve">Week 52</t>
  </si>
  <si>
    <t xml:space="preserve">Week 53</t>
  </si>
  <si>
    <t xml:space="preserve">Dec</t>
  </si>
  <si>
    <t xml:space="preserve">Get alerts of upcoming leave with our cloud-based leave management system.</t>
  </si>
  <si>
    <t xml:space="preserve">Breakdown</t>
  </si>
  <si>
    <t xml:space="preserve">Base allowance</t>
  </si>
  <si>
    <t xml:space="preserve">Carry over</t>
  </si>
  <si>
    <t xml:space="preserve">Total allowance</t>
  </si>
  <si>
    <t xml:space="preserve">Absence count</t>
  </si>
  <si>
    <t xml:space="preserve">Remaining allowance</t>
  </si>
  <si>
    <t xml:space="preserve">Made with love by Kieran at Absentia.</t>
  </si>
  <si>
    <t xml:space="preserve">Download your next years template &amp; let us know how we can improve:</t>
  </si>
  <si>
    <t xml:space="preserve">https://absentia.io/staff-holiday-planner-excel</t>
  </si>
  <si>
    <t xml:space="preserve">Our online leave tracker allows employees book their own leave,</t>
  </si>
  <si>
    <t xml:space="preserve">view their allowance, and sync team holidays with their Outlook calendar.</t>
  </si>
  <si>
    <t xml:space="preserve">Manage your leave by department, each with its own dedicated approvers. Try it out: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</si>
</sst>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m"/>
    <numFmt numFmtId="166" formatCode="##"/>
    <numFmt numFmtId="167" formatCode="ddd"/>
    <numFmt numFmtId="168" formatCode="General"/>
  </numFmts>
  <fonts count="11">
    <font>
      <sz val="12"/>
      <color rgb="FF000000"/>
      <name val="Calibri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1"/>
      <charset val="1"/>
    </font>
    <font>
      <sz val="10"/>
      <color rgb="FFFFFFFF"/>
      <name val="Calibri"/>
      <family val="1"/>
      <charset val="1"/>
    </font>
    <font>
      <sz val="11"/>
      <color rgb="FFFFFFFF"/>
      <name val="Calibri"/>
      <family val="1"/>
      <charset val="1"/>
    </font>
    <font>
      <sz val="12"/>
      <color theme="1"/>
      <name val="Calibri"/>
      <family val="2"/>
      <charset val="1"/>
    </font>
    <font>
      <u val="single"/>
      <sz val="12"/>
      <color rgb="FF0000FF"/>
      <name val="Calibri"/>
      <family val="1"/>
      <charset val="1"/>
    </font>
    <font>
      <u val="single"/>
      <sz val="12"/>
      <color theme="10"/>
      <name val="Calibri"/>
      <family val="1"/>
      <charset val="1"/>
    </font>
    <font>
      <u val="single"/>
      <sz val="12"/>
      <color rgb="FF000000"/>
      <name val="Calibri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2084EA"/>
        <bgColor rgb="FF2F96FF"/>
      </patternFill>
    </fill>
    <fill>
      <patternFill patternType="solid">
        <fgColor rgb="FF2F96FF"/>
        <bgColor rgb="FF2084EA"/>
      </patternFill>
    </fill>
    <fill>
      <patternFill patternType="solid">
        <fgColor rgb="FFE8ECF1"/>
        <bgColor rgb="FFFFFFFF"/>
      </patternFill>
    </fill>
    <fill>
      <patternFill patternType="solid">
        <fgColor rgb="FF7CBC44"/>
        <bgColor rgb="FFADD58A"/>
      </patternFill>
    </fill>
    <fill>
      <patternFill patternType="solid">
        <fgColor rgb="FFADD58A"/>
        <bgColor rgb="FFC2E0AE"/>
      </patternFill>
    </fill>
    <fill>
      <patternFill patternType="solid">
        <fgColor rgb="FFC2E0AE"/>
        <bgColor rgb="FFADD58A"/>
      </patternFill>
    </fill>
    <fill>
      <patternFill patternType="solid">
        <fgColor rgb="FFF90B0B"/>
        <bgColor rgb="FF993300"/>
      </patternFill>
    </fill>
    <fill>
      <patternFill patternType="solid">
        <fgColor rgb="FFFAD000"/>
        <bgColor rgb="FFFFFF00"/>
      </patternFill>
    </fill>
    <fill>
      <patternFill patternType="solid">
        <fgColor rgb="FFFCC79B"/>
        <bgColor rgb="FFC2E0AE"/>
      </patternFill>
    </fill>
    <fill>
      <patternFill patternType="solid">
        <fgColor rgb="FFA2A2A2"/>
        <bgColor rgb="FF9999FF"/>
      </patternFill>
    </fill>
    <fill>
      <patternFill patternType="solid">
        <fgColor rgb="FFF4AFFF"/>
        <bgColor rgb="FFCC99FF"/>
      </patternFill>
    </fill>
    <fill>
      <patternFill patternType="solid">
        <fgColor rgb="FF000000"/>
        <bgColor rgb="FF00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F96FF"/>
      </left>
      <right style="thin">
        <color rgb="FF2F96FF"/>
      </right>
      <top style="thin">
        <color rgb="FF2F96FF"/>
      </top>
      <bottom style="thin">
        <color rgb="FF2F96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120"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DD58A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7CBC44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C2E0AE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90B0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AD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CC79B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A2A2A2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F4AFFF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  <dxf>
      <font>
        <name val="Calibri"/>
        <charset val="1"/>
        <family val="1"/>
        <color rgb="FF000000"/>
        <sz val="12"/>
      </font>
      <fill>
        <patternFill>
          <bgColor rgb="FF000000"/>
        </patternFill>
      </fill>
      <border diagonalUp="false" diagonalDown="false">
        <left style="thin">
          <color rgb="FF2F96FF"/>
        </left>
        <right style="thin">
          <color rgb="FF2F96FF"/>
        </right>
        <top style="thin">
          <color rgb="FF2F96FF"/>
        </top>
        <bottom style="thin">
          <color rgb="FF2F96FF"/>
        </bottom>
        <diagonal/>
      </border>
    </dxf>
  </dxfs>
  <colors>
    <indexedColors>
      <rgbColor rgb="FF000000"/>
      <rgbColor rgb="FFFFFFFF"/>
      <rgbColor rgb="FFF90B0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2E0AE"/>
      <rgbColor rgb="FF808080"/>
      <rgbColor rgb="FF9999FF"/>
      <rgbColor rgb="FF993366"/>
      <rgbColor rgb="FFFFFFCC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EE"/>
      <rgbColor rgb="FF00CCFF"/>
      <rgbColor rgb="FFCCFFFF"/>
      <rgbColor rgb="FFCCFFCC"/>
      <rgbColor rgb="FFFFFF99"/>
      <rgbColor rgb="FFADD58A"/>
      <rgbColor rgb="FFF4AFFF"/>
      <rgbColor rgb="FFCC99FF"/>
      <rgbColor rgb="FFFCC79B"/>
      <rgbColor rgb="FF2084EA"/>
      <rgbColor rgb="FF2F96FF"/>
      <rgbColor rgb="FF7CBC44"/>
      <rgbColor rgb="FFFAD000"/>
      <rgbColor rgb="FFFF9900"/>
      <rgbColor rgb="FFFF6600"/>
      <rgbColor rgb="FF666699"/>
      <rgbColor rgb="FFA2A2A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booking-system" TargetMode="Externa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absentia.io/staff-holiday-planner-excel" TargetMode="External"/><Relationship Id="rId2" Type="http://schemas.openxmlformats.org/officeDocument/2006/relationships/hyperlink" Target="https://absentia.io/staff-holiday-booking-syste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0" activeCellId="0" sqref="R1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5.13"/>
    <col collapsed="false" customWidth="true" hidden="false" outlineLevel="0" max="2" min="2" style="0" width="24.5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1</v>
      </c>
      <c r="D2" s="1"/>
      <c r="E2" s="1"/>
      <c r="F2" s="1"/>
      <c r="G2" s="1" t="s">
        <v>2</v>
      </c>
      <c r="H2" s="1"/>
      <c r="I2" s="1"/>
      <c r="J2" s="1"/>
      <c r="K2" s="1"/>
      <c r="L2" s="1"/>
      <c r="M2" s="1"/>
      <c r="N2" s="1" t="s">
        <v>3</v>
      </c>
      <c r="O2" s="1"/>
      <c r="P2" s="1"/>
      <c r="Q2" s="1"/>
      <c r="R2" s="1"/>
      <c r="S2" s="1"/>
      <c r="T2" s="1"/>
      <c r="U2" s="1" t="s">
        <v>4</v>
      </c>
      <c r="V2" s="1"/>
      <c r="W2" s="1"/>
      <c r="X2" s="1"/>
      <c r="Y2" s="1"/>
      <c r="Z2" s="1"/>
      <c r="AA2" s="1"/>
      <c r="AB2" s="1" t="s">
        <v>5</v>
      </c>
      <c r="AC2" s="1"/>
      <c r="AD2" s="1"/>
      <c r="AE2" s="1"/>
      <c r="AF2" s="1"/>
      <c r="AG2" s="1"/>
    </row>
    <row r="3" customFormat="false" ht="12" hidden="false" customHeight="true" outlineLevel="0" collapsed="false">
      <c r="B3" s="2"/>
      <c r="C3" s="3" t="s">
        <v>6</v>
      </c>
      <c r="D3" s="3" t="s">
        <v>6</v>
      </c>
      <c r="E3" s="3" t="s">
        <v>6</v>
      </c>
      <c r="F3" s="3" t="s">
        <v>6</v>
      </c>
      <c r="G3" s="3" t="s">
        <v>6</v>
      </c>
      <c r="H3" s="3" t="s">
        <v>6</v>
      </c>
      <c r="I3" s="3" t="s">
        <v>6</v>
      </c>
      <c r="J3" s="3" t="s">
        <v>6</v>
      </c>
      <c r="K3" s="3" t="s">
        <v>6</v>
      </c>
      <c r="L3" s="3" t="s">
        <v>6</v>
      </c>
      <c r="M3" s="3" t="s">
        <v>6</v>
      </c>
      <c r="N3" s="3" t="s">
        <v>6</v>
      </c>
      <c r="O3" s="3" t="s">
        <v>6</v>
      </c>
      <c r="P3" s="3" t="s">
        <v>6</v>
      </c>
      <c r="Q3" s="3" t="s">
        <v>6</v>
      </c>
      <c r="R3" s="3" t="s">
        <v>6</v>
      </c>
      <c r="S3" s="3" t="s">
        <v>6</v>
      </c>
      <c r="T3" s="3" t="s">
        <v>6</v>
      </c>
      <c r="U3" s="3" t="s">
        <v>6</v>
      </c>
      <c r="V3" s="3" t="s">
        <v>6</v>
      </c>
      <c r="W3" s="3" t="s">
        <v>6</v>
      </c>
      <c r="X3" s="3" t="s">
        <v>6</v>
      </c>
      <c r="Y3" s="3" t="s">
        <v>6</v>
      </c>
      <c r="Z3" s="3" t="s">
        <v>6</v>
      </c>
      <c r="AA3" s="3" t="s">
        <v>6</v>
      </c>
      <c r="AB3" s="3" t="s">
        <v>6</v>
      </c>
      <c r="AC3" s="3" t="s">
        <v>6</v>
      </c>
      <c r="AD3" s="3" t="s">
        <v>6</v>
      </c>
      <c r="AE3" s="3" t="s">
        <v>6</v>
      </c>
      <c r="AF3" s="3" t="s">
        <v>6</v>
      </c>
      <c r="AG3" s="3" t="s">
        <v>6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11</v>
      </c>
      <c r="R5" s="6" t="s">
        <v>12</v>
      </c>
      <c r="S5" s="6" t="s">
        <v>13</v>
      </c>
      <c r="T5" s="6" t="s">
        <v>14</v>
      </c>
      <c r="U5" s="6" t="s">
        <v>15</v>
      </c>
      <c r="V5" s="6" t="s">
        <v>16</v>
      </c>
      <c r="W5" s="6" t="s">
        <v>17</v>
      </c>
      <c r="X5" s="6" t="s">
        <v>11</v>
      </c>
      <c r="Y5" s="6" t="s">
        <v>12</v>
      </c>
      <c r="Z5" s="6" t="s">
        <v>13</v>
      </c>
      <c r="AA5" s="6" t="s">
        <v>14</v>
      </c>
      <c r="AB5" s="6" t="s">
        <v>15</v>
      </c>
      <c r="AC5" s="6" t="s">
        <v>16</v>
      </c>
      <c r="AD5" s="6" t="s">
        <v>17</v>
      </c>
      <c r="AE5" s="6" t="s">
        <v>11</v>
      </c>
      <c r="AF5" s="6" t="s">
        <v>12</v>
      </c>
      <c r="AG5" s="6" t="s">
        <v>13</v>
      </c>
      <c r="AH5" s="4"/>
      <c r="AJ5" s="4"/>
      <c r="AK5" s="4"/>
      <c r="AL5" s="4"/>
    </row>
    <row r="6" customFormat="false" ht="19.5" hidden="false" customHeight="true" outlineLevel="0" collapsed="false">
      <c r="A6" s="7" t="n">
        <v>1</v>
      </c>
      <c r="B6" s="8" t="s">
        <v>18</v>
      </c>
      <c r="C6" s="9" t="s">
        <v>19</v>
      </c>
      <c r="D6" s="9" t="s">
        <v>19</v>
      </c>
      <c r="E6" s="10"/>
      <c r="F6" s="10"/>
      <c r="G6" s="9"/>
      <c r="H6" s="9"/>
      <c r="I6" s="9"/>
      <c r="J6" s="9"/>
      <c r="K6" s="9" t="s">
        <v>20</v>
      </c>
      <c r="L6" s="10"/>
      <c r="M6" s="10"/>
      <c r="N6" s="9"/>
      <c r="O6" s="9"/>
      <c r="P6" s="9"/>
      <c r="Q6" s="9"/>
      <c r="R6" s="9"/>
      <c r="S6" s="10"/>
      <c r="T6" s="10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9"/>
      <c r="AG6" s="10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3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A7" s="7" t="n">
        <v>6</v>
      </c>
      <c r="B7" s="8" t="s">
        <v>22</v>
      </c>
      <c r="C7" s="9" t="s">
        <v>19</v>
      </c>
      <c r="D7" s="9" t="s">
        <v>19</v>
      </c>
      <c r="E7" s="10"/>
      <c r="F7" s="10"/>
      <c r="G7" s="9"/>
      <c r="H7" s="9"/>
      <c r="I7" s="9"/>
      <c r="J7" s="9"/>
      <c r="K7" s="9" t="s">
        <v>20</v>
      </c>
      <c r="L7" s="10"/>
      <c r="M7" s="10"/>
      <c r="N7" s="9"/>
      <c r="O7" s="9"/>
      <c r="P7" s="9"/>
      <c r="Q7" s="9"/>
      <c r="R7" s="9" t="s">
        <v>23</v>
      </c>
      <c r="S7" s="10"/>
      <c r="T7" s="10"/>
      <c r="U7" s="9"/>
      <c r="V7" s="9"/>
      <c r="W7" s="9"/>
      <c r="X7" s="9"/>
      <c r="Y7" s="9"/>
      <c r="Z7" s="10"/>
      <c r="AA7" s="10"/>
      <c r="AB7" s="9"/>
      <c r="AC7" s="9"/>
      <c r="AD7" s="9"/>
      <c r="AE7" s="9"/>
      <c r="AF7" s="9"/>
      <c r="AG7" s="10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4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A8" s="7" t="n">
        <v>7</v>
      </c>
      <c r="B8" s="8" t="s">
        <v>26</v>
      </c>
      <c r="C8" s="9" t="s">
        <v>19</v>
      </c>
      <c r="D8" s="9" t="s">
        <v>19</v>
      </c>
      <c r="E8" s="10"/>
      <c r="F8" s="10"/>
      <c r="G8" s="9"/>
      <c r="H8" s="9"/>
      <c r="I8" s="9"/>
      <c r="J8" s="9"/>
      <c r="K8" s="9" t="s">
        <v>20</v>
      </c>
      <c r="L8" s="10"/>
      <c r="M8" s="10"/>
      <c r="N8" s="9"/>
      <c r="O8" s="9"/>
      <c r="P8" s="9"/>
      <c r="Q8" s="9"/>
      <c r="R8" s="9"/>
      <c r="S8" s="10"/>
      <c r="T8" s="10"/>
      <c r="U8" s="9"/>
      <c r="V8" s="9"/>
      <c r="W8" s="9"/>
      <c r="X8" s="9"/>
      <c r="Y8" s="9"/>
      <c r="Z8" s="10"/>
      <c r="AA8" s="10"/>
      <c r="AB8" s="9"/>
      <c r="AC8" s="9"/>
      <c r="AD8" s="9"/>
      <c r="AE8" s="9"/>
      <c r="AF8" s="9"/>
      <c r="AG8" s="10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3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A9" s="7" t="n">
        <v>8</v>
      </c>
      <c r="B9" s="8" t="s">
        <v>29</v>
      </c>
      <c r="C9" s="9" t="s">
        <v>19</v>
      </c>
      <c r="D9" s="9" t="s">
        <v>19</v>
      </c>
      <c r="E9" s="10"/>
      <c r="F9" s="10"/>
      <c r="G9" s="9"/>
      <c r="H9" s="9"/>
      <c r="I9" s="9" t="s">
        <v>25</v>
      </c>
      <c r="J9" s="9"/>
      <c r="K9" s="9" t="s">
        <v>20</v>
      </c>
      <c r="L9" s="10"/>
      <c r="M9" s="10"/>
      <c r="N9" s="9" t="s">
        <v>30</v>
      </c>
      <c r="O9" s="9"/>
      <c r="P9" s="9"/>
      <c r="Q9" s="9"/>
      <c r="R9" s="9"/>
      <c r="S9" s="10"/>
      <c r="T9" s="10"/>
      <c r="U9" s="9"/>
      <c r="V9" s="9"/>
      <c r="W9" s="9"/>
      <c r="X9" s="9"/>
      <c r="Y9" s="9"/>
      <c r="Z9" s="10"/>
      <c r="AA9" s="10"/>
      <c r="AB9" s="9"/>
      <c r="AC9" s="9"/>
      <c r="AD9" s="9"/>
      <c r="AE9" s="9"/>
      <c r="AF9" s="9"/>
      <c r="AG9" s="10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3.5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A10" s="7" t="n">
        <v>9</v>
      </c>
      <c r="B10" s="16" t="s">
        <v>33</v>
      </c>
      <c r="C10" s="9" t="s">
        <v>19</v>
      </c>
      <c r="D10" s="9" t="s">
        <v>19</v>
      </c>
      <c r="E10" s="10"/>
      <c r="F10" s="10"/>
      <c r="G10" s="9"/>
      <c r="H10" s="9"/>
      <c r="I10" s="9"/>
      <c r="J10" s="9"/>
      <c r="K10" s="9" t="s">
        <v>20</v>
      </c>
      <c r="L10" s="10"/>
      <c r="M10" s="10"/>
      <c r="N10" s="9"/>
      <c r="O10" s="9"/>
      <c r="P10" s="9"/>
      <c r="Q10" s="9"/>
      <c r="R10" s="9"/>
      <c r="S10" s="10"/>
      <c r="T10" s="10"/>
      <c r="U10" s="9"/>
      <c r="V10" s="9"/>
      <c r="W10" s="9"/>
      <c r="X10" s="9"/>
      <c r="Y10" s="9"/>
      <c r="Z10" s="10"/>
      <c r="AA10" s="10"/>
      <c r="AB10" s="9"/>
      <c r="AC10" s="9"/>
      <c r="AD10" s="9"/>
      <c r="AE10" s="9"/>
      <c r="AF10" s="9"/>
      <c r="AG10" s="10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3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A11" s="7" t="n">
        <v>11</v>
      </c>
      <c r="B11" s="16" t="s">
        <v>35</v>
      </c>
      <c r="C11" s="9" t="s">
        <v>19</v>
      </c>
      <c r="D11" s="9" t="s">
        <v>19</v>
      </c>
      <c r="E11" s="10"/>
      <c r="F11" s="10"/>
      <c r="G11" s="9"/>
      <c r="H11" s="9"/>
      <c r="I11" s="9"/>
      <c r="J11" s="9"/>
      <c r="K11" s="9" t="s">
        <v>20</v>
      </c>
      <c r="L11" s="10"/>
      <c r="M11" s="10"/>
      <c r="N11" s="9"/>
      <c r="O11" s="9"/>
      <c r="P11" s="9"/>
      <c r="Q11" s="9"/>
      <c r="R11" s="9"/>
      <c r="S11" s="10"/>
      <c r="T11" s="10"/>
      <c r="U11" s="9"/>
      <c r="V11" s="9"/>
      <c r="W11" s="9"/>
      <c r="X11" s="9" t="s">
        <v>30</v>
      </c>
      <c r="Y11" s="9"/>
      <c r="Z11" s="10"/>
      <c r="AA11" s="10"/>
      <c r="AB11" s="9"/>
      <c r="AC11" s="9"/>
      <c r="AD11" s="9"/>
      <c r="AE11" s="9"/>
      <c r="AF11" s="9"/>
      <c r="AG11" s="10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3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A12" s="7" t="n">
        <v>13</v>
      </c>
      <c r="B12" s="16" t="s">
        <v>37</v>
      </c>
      <c r="C12" s="9" t="s">
        <v>19</v>
      </c>
      <c r="D12" s="9" t="s">
        <v>19</v>
      </c>
      <c r="E12" s="10"/>
      <c r="F12" s="10"/>
      <c r="G12" s="9"/>
      <c r="H12" s="9"/>
      <c r="I12" s="9"/>
      <c r="J12" s="9"/>
      <c r="K12" s="9" t="s">
        <v>20</v>
      </c>
      <c r="L12" s="10"/>
      <c r="M12" s="10"/>
      <c r="N12" s="9"/>
      <c r="O12" s="9"/>
      <c r="P12" s="9"/>
      <c r="Q12" s="9"/>
      <c r="R12" s="9"/>
      <c r="S12" s="10"/>
      <c r="T12" s="10"/>
      <c r="U12" s="9"/>
      <c r="V12" s="9"/>
      <c r="W12" s="9"/>
      <c r="X12" s="9"/>
      <c r="Y12" s="9"/>
      <c r="Z12" s="10"/>
      <c r="AA12" s="10"/>
      <c r="AB12" s="9"/>
      <c r="AC12" s="9"/>
      <c r="AD12" s="9"/>
      <c r="AE12" s="9"/>
      <c r="AF12" s="9"/>
      <c r="AG12" s="10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3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A13" s="7" t="n">
        <v>14</v>
      </c>
      <c r="B13" s="8" t="s">
        <v>40</v>
      </c>
      <c r="C13" s="9" t="s">
        <v>19</v>
      </c>
      <c r="D13" s="9" t="s">
        <v>19</v>
      </c>
      <c r="E13" s="10"/>
      <c r="F13" s="10"/>
      <c r="G13" s="9"/>
      <c r="H13" s="9"/>
      <c r="I13" s="9"/>
      <c r="J13" s="9"/>
      <c r="K13" s="9" t="s">
        <v>20</v>
      </c>
      <c r="L13" s="10"/>
      <c r="M13" s="10"/>
      <c r="N13" s="9"/>
      <c r="O13" s="9"/>
      <c r="P13" s="9"/>
      <c r="Q13" s="9"/>
      <c r="R13" s="9"/>
      <c r="S13" s="10"/>
      <c r="T13" s="10"/>
      <c r="U13" s="9"/>
      <c r="V13" s="9"/>
      <c r="W13" s="9"/>
      <c r="X13" s="9"/>
      <c r="Y13" s="9"/>
      <c r="Z13" s="10"/>
      <c r="AA13" s="10"/>
      <c r="AB13" s="9"/>
      <c r="AC13" s="9"/>
      <c r="AD13" s="9"/>
      <c r="AE13" s="9"/>
      <c r="AF13" s="9"/>
      <c r="AG13" s="10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3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A14" s="7" t="n">
        <v>15</v>
      </c>
      <c r="B14" s="8" t="s">
        <v>43</v>
      </c>
      <c r="C14" s="9" t="s">
        <v>19</v>
      </c>
      <c r="D14" s="9" t="s">
        <v>19</v>
      </c>
      <c r="E14" s="10"/>
      <c r="F14" s="10"/>
      <c r="G14" s="9"/>
      <c r="H14" s="9"/>
      <c r="I14" s="9"/>
      <c r="J14" s="9"/>
      <c r="K14" s="9" t="s">
        <v>20</v>
      </c>
      <c r="L14" s="10"/>
      <c r="M14" s="10"/>
      <c r="N14" s="9"/>
      <c r="O14" s="9"/>
      <c r="P14" s="9"/>
      <c r="Q14" s="9"/>
      <c r="R14" s="9"/>
      <c r="S14" s="10"/>
      <c r="T14" s="10"/>
      <c r="U14" s="9"/>
      <c r="V14" s="9"/>
      <c r="W14" s="9"/>
      <c r="X14" s="9"/>
      <c r="Y14" s="9"/>
      <c r="Z14" s="10"/>
      <c r="AA14" s="10"/>
      <c r="AB14" s="9"/>
      <c r="AC14" s="9"/>
      <c r="AD14" s="9"/>
      <c r="AE14" s="9"/>
      <c r="AF14" s="9"/>
      <c r="AG14" s="10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3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A15" s="7" t="n">
        <v>16</v>
      </c>
      <c r="B15" s="8" t="s">
        <v>45</v>
      </c>
      <c r="C15" s="9" t="s">
        <v>19</v>
      </c>
      <c r="D15" s="9" t="s">
        <v>19</v>
      </c>
      <c r="E15" s="10"/>
      <c r="F15" s="10"/>
      <c r="G15" s="9"/>
      <c r="H15" s="9"/>
      <c r="I15" s="9"/>
      <c r="J15" s="9" t="s">
        <v>30</v>
      </c>
      <c r="K15" s="9" t="s">
        <v>20</v>
      </c>
      <c r="L15" s="10"/>
      <c r="M15" s="10"/>
      <c r="N15" s="9"/>
      <c r="O15" s="9"/>
      <c r="P15" s="9"/>
      <c r="Q15" s="9"/>
      <c r="R15" s="9"/>
      <c r="S15" s="10"/>
      <c r="T15" s="10"/>
      <c r="U15" s="9" t="s">
        <v>30</v>
      </c>
      <c r="V15" s="9"/>
      <c r="W15" s="9"/>
      <c r="X15" s="9"/>
      <c r="Y15" s="9"/>
      <c r="Z15" s="10"/>
      <c r="AA15" s="10"/>
      <c r="AB15" s="9"/>
      <c r="AC15" s="9"/>
      <c r="AD15" s="9"/>
      <c r="AE15" s="9"/>
      <c r="AF15" s="9"/>
      <c r="AG15" s="10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3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A16" s="7" t="n">
        <v>17</v>
      </c>
      <c r="B16" s="8" t="s">
        <v>48</v>
      </c>
      <c r="C16" s="9" t="s">
        <v>19</v>
      </c>
      <c r="D16" s="9" t="s">
        <v>19</v>
      </c>
      <c r="E16" s="10"/>
      <c r="F16" s="10"/>
      <c r="G16" s="9"/>
      <c r="H16" s="9" t="s">
        <v>42</v>
      </c>
      <c r="I16" s="9"/>
      <c r="J16" s="9" t="s">
        <v>19</v>
      </c>
      <c r="K16" s="9" t="s">
        <v>20</v>
      </c>
      <c r="L16" s="10"/>
      <c r="M16" s="10"/>
      <c r="N16" s="9"/>
      <c r="O16" s="9"/>
      <c r="P16" s="9"/>
      <c r="Q16" s="9"/>
      <c r="R16" s="9"/>
      <c r="S16" s="10"/>
      <c r="T16" s="10"/>
      <c r="U16" s="9"/>
      <c r="V16" s="9"/>
      <c r="W16" s="9"/>
      <c r="X16" s="9"/>
      <c r="Y16" s="9"/>
      <c r="Z16" s="10"/>
      <c r="AA16" s="10"/>
      <c r="AB16" s="9"/>
      <c r="AC16" s="9"/>
      <c r="AD16" s="9"/>
      <c r="AE16" s="9"/>
      <c r="AF16" s="9"/>
      <c r="AG16" s="10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4</v>
      </c>
    </row>
    <row r="17" customFormat="false" ht="19.5" hidden="false" customHeight="true" outlineLevel="0" collapsed="false">
      <c r="A17" s="7" t="n">
        <v>18</v>
      </c>
      <c r="B17" s="8" t="s">
        <v>49</v>
      </c>
      <c r="C17" s="9" t="s">
        <v>19</v>
      </c>
      <c r="D17" s="9" t="s">
        <v>19</v>
      </c>
      <c r="E17" s="10"/>
      <c r="F17" s="10"/>
      <c r="G17" s="9"/>
      <c r="H17" s="9"/>
      <c r="I17" s="9"/>
      <c r="J17" s="9"/>
      <c r="K17" s="9" t="s">
        <v>20</v>
      </c>
      <c r="L17" s="10"/>
      <c r="M17" s="10"/>
      <c r="N17" s="9"/>
      <c r="O17" s="9"/>
      <c r="P17" s="9"/>
      <c r="Q17" s="9"/>
      <c r="R17" s="9"/>
      <c r="S17" s="10"/>
      <c r="T17" s="10"/>
      <c r="U17" s="9"/>
      <c r="V17" s="9"/>
      <c r="W17" s="9"/>
      <c r="X17" s="9"/>
      <c r="Y17" s="9"/>
      <c r="Z17" s="10"/>
      <c r="AA17" s="10"/>
      <c r="AB17" s="9"/>
      <c r="AC17" s="9"/>
      <c r="AD17" s="9"/>
      <c r="AE17" s="9"/>
      <c r="AF17" s="9"/>
      <c r="AG17" s="10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3</v>
      </c>
    </row>
    <row r="18" customFormat="false" ht="19.5" hidden="false" customHeight="true" outlineLevel="0" collapsed="false">
      <c r="A18" s="7" t="n">
        <v>19</v>
      </c>
      <c r="B18" s="8" t="s">
        <v>50</v>
      </c>
      <c r="C18" s="9" t="s">
        <v>19</v>
      </c>
      <c r="D18" s="9" t="s">
        <v>19</v>
      </c>
      <c r="E18" s="10"/>
      <c r="F18" s="10"/>
      <c r="G18" s="9"/>
      <c r="H18" s="9"/>
      <c r="I18" s="9"/>
      <c r="J18" s="9"/>
      <c r="K18" s="9" t="s">
        <v>20</v>
      </c>
      <c r="L18" s="10"/>
      <c r="M18" s="10"/>
      <c r="N18" s="9"/>
      <c r="O18" s="9" t="s">
        <v>51</v>
      </c>
      <c r="P18" s="9"/>
      <c r="Q18" s="9"/>
      <c r="R18" s="9"/>
      <c r="S18" s="10"/>
      <c r="T18" s="10"/>
      <c r="U18" s="9" t="s">
        <v>19</v>
      </c>
      <c r="V18" s="9"/>
      <c r="W18" s="9"/>
      <c r="X18" s="9"/>
      <c r="Y18" s="9"/>
      <c r="Z18" s="10"/>
      <c r="AA18" s="10"/>
      <c r="AB18" s="9"/>
      <c r="AC18" s="9"/>
      <c r="AD18" s="9"/>
      <c r="AE18" s="9"/>
      <c r="AF18" s="9"/>
      <c r="AG18" s="10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4</v>
      </c>
    </row>
    <row r="19" customFormat="false" ht="19.5" hidden="false" customHeight="true" outlineLevel="0" collapsed="false">
      <c r="A19" s="7" t="n">
        <v>20</v>
      </c>
      <c r="B19" s="8" t="s">
        <v>52</v>
      </c>
      <c r="C19" s="9" t="s">
        <v>19</v>
      </c>
      <c r="D19" s="9" t="s">
        <v>19</v>
      </c>
      <c r="E19" s="10"/>
      <c r="F19" s="10"/>
      <c r="G19" s="9"/>
      <c r="H19" s="9"/>
      <c r="I19" s="9"/>
      <c r="J19" s="9"/>
      <c r="K19" s="9" t="s">
        <v>20</v>
      </c>
      <c r="L19" s="10"/>
      <c r="M19" s="10"/>
      <c r="N19" s="9"/>
      <c r="O19" s="9"/>
      <c r="P19" s="9"/>
      <c r="Q19" s="9"/>
      <c r="R19" s="9"/>
      <c r="S19" s="10"/>
      <c r="T19" s="10"/>
      <c r="U19" s="9"/>
      <c r="V19" s="9"/>
      <c r="W19" s="9"/>
      <c r="X19" s="9"/>
      <c r="Y19" s="9"/>
      <c r="Z19" s="10"/>
      <c r="AA19" s="10"/>
      <c r="AB19" s="9"/>
      <c r="AC19" s="9"/>
      <c r="AD19" s="9"/>
      <c r="AE19" s="9"/>
      <c r="AF19" s="9"/>
      <c r="AG19" s="10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3</v>
      </c>
    </row>
    <row r="20" customFormat="false" ht="19.5" hidden="false" customHeight="true" outlineLevel="0" collapsed="false">
      <c r="B20" s="8"/>
      <c r="C20" s="9"/>
      <c r="D20" s="9"/>
      <c r="E20" s="10"/>
      <c r="F20" s="10"/>
      <c r="G20" s="9"/>
      <c r="H20" s="9"/>
      <c r="I20" s="9"/>
      <c r="J20" s="9"/>
      <c r="K20" s="9"/>
      <c r="L20" s="10"/>
      <c r="M20" s="10"/>
      <c r="N20" s="9"/>
      <c r="O20" s="9"/>
      <c r="P20" s="9"/>
      <c r="Q20" s="9"/>
      <c r="R20" s="9"/>
      <c r="S20" s="10"/>
      <c r="T20" s="10"/>
      <c r="U20" s="9"/>
      <c r="V20" s="9"/>
      <c r="W20" s="9"/>
      <c r="X20" s="9"/>
      <c r="Y20" s="9"/>
      <c r="Z20" s="10"/>
      <c r="AA20" s="10"/>
      <c r="AB20" s="9"/>
      <c r="AC20" s="9"/>
      <c r="AD20" s="9"/>
      <c r="AE20" s="9"/>
      <c r="AF20" s="9"/>
      <c r="AG20" s="10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0</v>
      </c>
    </row>
    <row r="21" customFormat="false" ht="19.5" hidden="false" customHeight="true" outlineLevel="0" collapsed="false">
      <c r="B21" s="8" t="n">
        <v>0</v>
      </c>
      <c r="C21" s="9"/>
      <c r="D21" s="9"/>
      <c r="E21" s="10"/>
      <c r="F21" s="10"/>
      <c r="G21" s="9"/>
      <c r="H21" s="9"/>
      <c r="I21" s="9"/>
      <c r="J21" s="9"/>
      <c r="K21" s="9"/>
      <c r="L21" s="10"/>
      <c r="M21" s="10"/>
      <c r="N21" s="9"/>
      <c r="O21" s="9"/>
      <c r="P21" s="9"/>
      <c r="Q21" s="9"/>
      <c r="R21" s="9"/>
      <c r="S21" s="10"/>
      <c r="T21" s="10"/>
      <c r="U21" s="9"/>
      <c r="V21" s="9"/>
      <c r="W21" s="9"/>
      <c r="X21" s="9"/>
      <c r="Y21" s="9"/>
      <c r="Z21" s="10"/>
      <c r="AA21" s="10"/>
      <c r="AB21" s="9"/>
      <c r="AC21" s="9"/>
      <c r="AD21" s="9"/>
      <c r="AE21" s="9"/>
      <c r="AF21" s="9"/>
      <c r="AG21" s="10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v>0</v>
      </c>
      <c r="C22" s="9"/>
      <c r="D22" s="9"/>
      <c r="E22" s="10"/>
      <c r="F22" s="10"/>
      <c r="G22" s="9"/>
      <c r="H22" s="9"/>
      <c r="I22" s="9"/>
      <c r="J22" s="9"/>
      <c r="K22" s="9"/>
      <c r="L22" s="10"/>
      <c r="M22" s="10"/>
      <c r="N22" s="9"/>
      <c r="O22" s="9"/>
      <c r="P22" s="9"/>
      <c r="Q22" s="9"/>
      <c r="R22" s="9"/>
      <c r="S22" s="10"/>
      <c r="T22" s="10"/>
      <c r="U22" s="9"/>
      <c r="V22" s="9"/>
      <c r="W22" s="9"/>
      <c r="X22" s="9"/>
      <c r="Y22" s="9"/>
      <c r="Z22" s="10"/>
      <c r="AA22" s="10"/>
      <c r="AB22" s="9"/>
      <c r="AC22" s="9"/>
      <c r="AD22" s="9"/>
      <c r="AE22" s="9"/>
      <c r="AF22" s="9"/>
      <c r="AG22" s="10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v>0</v>
      </c>
      <c r="C23" s="9"/>
      <c r="D23" s="9"/>
      <c r="E23" s="10"/>
      <c r="F23" s="10"/>
      <c r="G23" s="9"/>
      <c r="H23" s="9"/>
      <c r="I23" s="9"/>
      <c r="J23" s="9"/>
      <c r="K23" s="9"/>
      <c r="L23" s="10"/>
      <c r="M23" s="10"/>
      <c r="N23" s="9"/>
      <c r="O23" s="9"/>
      <c r="P23" s="9"/>
      <c r="Q23" s="9"/>
      <c r="R23" s="9"/>
      <c r="S23" s="10"/>
      <c r="T23" s="10"/>
      <c r="U23" s="9"/>
      <c r="V23" s="9"/>
      <c r="W23" s="9"/>
      <c r="X23" s="9"/>
      <c r="Y23" s="9"/>
      <c r="Z23" s="10"/>
      <c r="AA23" s="10"/>
      <c r="AB23" s="9"/>
      <c r="AC23" s="9"/>
      <c r="AD23" s="9"/>
      <c r="AE23" s="9"/>
      <c r="AF23" s="9"/>
      <c r="AG23" s="10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v>0</v>
      </c>
      <c r="C24" s="9"/>
      <c r="D24" s="9"/>
      <c r="E24" s="10"/>
      <c r="F24" s="10"/>
      <c r="G24" s="9"/>
      <c r="H24" s="9"/>
      <c r="I24" s="9"/>
      <c r="J24" s="9"/>
      <c r="K24" s="9"/>
      <c r="L24" s="10"/>
      <c r="M24" s="10"/>
      <c r="N24" s="9"/>
      <c r="O24" s="9"/>
      <c r="P24" s="9"/>
      <c r="Q24" s="9"/>
      <c r="R24" s="9"/>
      <c r="S24" s="10"/>
      <c r="T24" s="10"/>
      <c r="U24" s="9"/>
      <c r="V24" s="9"/>
      <c r="W24" s="9"/>
      <c r="X24" s="9"/>
      <c r="Y24" s="9"/>
      <c r="Z24" s="10"/>
      <c r="AA24" s="10"/>
      <c r="AB24" s="9"/>
      <c r="AC24" s="9"/>
      <c r="AD24" s="9"/>
      <c r="AE24" s="9"/>
      <c r="AF24" s="9"/>
      <c r="AG24" s="10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v>0</v>
      </c>
      <c r="C25" s="9"/>
      <c r="D25" s="9"/>
      <c r="E25" s="10"/>
      <c r="F25" s="10"/>
      <c r="G25" s="9"/>
      <c r="H25" s="9"/>
      <c r="I25" s="9"/>
      <c r="J25" s="9"/>
      <c r="K25" s="9"/>
      <c r="L25" s="10"/>
      <c r="M25" s="10"/>
      <c r="N25" s="9"/>
      <c r="O25" s="9"/>
      <c r="P25" s="9"/>
      <c r="Q25" s="9"/>
      <c r="R25" s="9"/>
      <c r="S25" s="10"/>
      <c r="T25" s="10"/>
      <c r="U25" s="9"/>
      <c r="V25" s="9"/>
      <c r="W25" s="9"/>
      <c r="X25" s="9"/>
      <c r="Y25" s="9"/>
      <c r="Z25" s="10"/>
      <c r="AA25" s="10"/>
      <c r="AB25" s="9"/>
      <c r="AC25" s="9"/>
      <c r="AD25" s="9"/>
      <c r="AE25" s="9"/>
      <c r="AF25" s="9"/>
      <c r="AG25" s="10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v>0</v>
      </c>
      <c r="C26" s="9"/>
      <c r="D26" s="9"/>
      <c r="E26" s="10"/>
      <c r="F26" s="10"/>
      <c r="G26" s="9"/>
      <c r="H26" s="9"/>
      <c r="I26" s="9"/>
      <c r="J26" s="9"/>
      <c r="K26" s="9"/>
      <c r="L26" s="10"/>
      <c r="M26" s="10"/>
      <c r="N26" s="9"/>
      <c r="O26" s="9"/>
      <c r="P26" s="9"/>
      <c r="Q26" s="9"/>
      <c r="R26" s="9"/>
      <c r="S26" s="10"/>
      <c r="T26" s="10"/>
      <c r="U26" s="9"/>
      <c r="V26" s="9"/>
      <c r="W26" s="9"/>
      <c r="X26" s="9"/>
      <c r="Y26" s="9"/>
      <c r="Z26" s="10"/>
      <c r="AA26" s="10"/>
      <c r="AB26" s="9"/>
      <c r="AC26" s="9"/>
      <c r="AD26" s="9"/>
      <c r="AE26" s="9"/>
      <c r="AF26" s="9"/>
      <c r="AG26" s="10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v>0</v>
      </c>
      <c r="C27" s="9"/>
      <c r="D27" s="9"/>
      <c r="E27" s="10"/>
      <c r="F27" s="10"/>
      <c r="G27" s="9"/>
      <c r="H27" s="9"/>
      <c r="I27" s="9"/>
      <c r="J27" s="9"/>
      <c r="K27" s="9"/>
      <c r="L27" s="10"/>
      <c r="M27" s="10"/>
      <c r="N27" s="9"/>
      <c r="O27" s="9"/>
      <c r="P27" s="9"/>
      <c r="Q27" s="9"/>
      <c r="R27" s="9"/>
      <c r="S27" s="10"/>
      <c r="T27" s="10"/>
      <c r="U27" s="9"/>
      <c r="V27" s="9"/>
      <c r="W27" s="9"/>
      <c r="X27" s="9"/>
      <c r="Y27" s="9"/>
      <c r="Z27" s="10"/>
      <c r="AA27" s="10"/>
      <c r="AB27" s="9"/>
      <c r="AC27" s="9"/>
      <c r="AD27" s="9"/>
      <c r="AE27" s="9"/>
      <c r="AF27" s="9"/>
      <c r="AG27" s="10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v>0</v>
      </c>
      <c r="C28" s="9"/>
      <c r="D28" s="9"/>
      <c r="E28" s="10"/>
      <c r="F28" s="10"/>
      <c r="G28" s="9"/>
      <c r="H28" s="9"/>
      <c r="I28" s="9"/>
      <c r="J28" s="9"/>
      <c r="K28" s="9"/>
      <c r="L28" s="10"/>
      <c r="M28" s="10"/>
      <c r="N28" s="9"/>
      <c r="O28" s="9"/>
      <c r="P28" s="9"/>
      <c r="Q28" s="9"/>
      <c r="R28" s="9"/>
      <c r="S28" s="10"/>
      <c r="T28" s="10"/>
      <c r="U28" s="9"/>
      <c r="V28" s="9"/>
      <c r="W28" s="9"/>
      <c r="X28" s="9"/>
      <c r="Y28" s="9"/>
      <c r="Z28" s="10"/>
      <c r="AA28" s="10"/>
      <c r="AB28" s="9"/>
      <c r="AC28" s="9"/>
      <c r="AD28" s="9"/>
      <c r="AE28" s="9"/>
      <c r="AF28" s="9"/>
      <c r="AG28" s="10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v>0</v>
      </c>
      <c r="C29" s="9"/>
      <c r="D29" s="9"/>
      <c r="E29" s="10"/>
      <c r="F29" s="10"/>
      <c r="G29" s="9"/>
      <c r="H29" s="9"/>
      <c r="I29" s="9"/>
      <c r="J29" s="9"/>
      <c r="K29" s="9"/>
      <c r="L29" s="10"/>
      <c r="M29" s="10"/>
      <c r="N29" s="9"/>
      <c r="O29" s="9"/>
      <c r="P29" s="9"/>
      <c r="Q29" s="9"/>
      <c r="R29" s="9"/>
      <c r="S29" s="10"/>
      <c r="T29" s="10"/>
      <c r="U29" s="9"/>
      <c r="V29" s="9"/>
      <c r="W29" s="9"/>
      <c r="X29" s="9"/>
      <c r="Y29" s="9"/>
      <c r="Z29" s="10"/>
      <c r="AA29" s="10"/>
      <c r="AB29" s="9"/>
      <c r="AC29" s="9"/>
      <c r="AD29" s="9"/>
      <c r="AE29" s="9"/>
      <c r="AF29" s="9"/>
      <c r="AG29" s="10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v>0</v>
      </c>
      <c r="C30" s="9"/>
      <c r="D30" s="9"/>
      <c r="E30" s="10"/>
      <c r="F30" s="10"/>
      <c r="G30" s="9"/>
      <c r="H30" s="9"/>
      <c r="I30" s="9"/>
      <c r="J30" s="9"/>
      <c r="K30" s="9"/>
      <c r="L30" s="10"/>
      <c r="M30" s="10"/>
      <c r="N30" s="9"/>
      <c r="O30" s="9"/>
      <c r="P30" s="9"/>
      <c r="Q30" s="9"/>
      <c r="R30" s="9"/>
      <c r="S30" s="10"/>
      <c r="T30" s="10"/>
      <c r="U30" s="9"/>
      <c r="V30" s="9"/>
      <c r="W30" s="9"/>
      <c r="X30" s="9"/>
      <c r="Y30" s="9"/>
      <c r="Z30" s="10"/>
      <c r="AA30" s="10"/>
      <c r="AB30" s="9"/>
      <c r="AC30" s="9"/>
      <c r="AD30" s="9"/>
      <c r="AE30" s="9"/>
      <c r="AF30" s="9"/>
      <c r="AG30" s="10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v>0</v>
      </c>
      <c r="C31" s="9"/>
      <c r="D31" s="9"/>
      <c r="E31" s="10"/>
      <c r="F31" s="10"/>
      <c r="G31" s="9"/>
      <c r="H31" s="9"/>
      <c r="I31" s="9"/>
      <c r="J31" s="9"/>
      <c r="K31" s="9"/>
      <c r="L31" s="10"/>
      <c r="M31" s="10"/>
      <c r="N31" s="9"/>
      <c r="O31" s="9"/>
      <c r="P31" s="9"/>
      <c r="Q31" s="9"/>
      <c r="R31" s="9"/>
      <c r="S31" s="10"/>
      <c r="T31" s="10"/>
      <c r="U31" s="9"/>
      <c r="V31" s="9"/>
      <c r="W31" s="9"/>
      <c r="X31" s="9"/>
      <c r="Y31" s="9"/>
      <c r="Z31" s="10"/>
      <c r="AA31" s="10"/>
      <c r="AB31" s="9"/>
      <c r="AC31" s="9"/>
      <c r="AD31" s="9"/>
      <c r="AE31" s="9"/>
      <c r="AF31" s="9"/>
      <c r="AG31" s="10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v>0</v>
      </c>
      <c r="C32" s="9"/>
      <c r="D32" s="9"/>
      <c r="E32" s="10"/>
      <c r="F32" s="10"/>
      <c r="G32" s="9"/>
      <c r="H32" s="9"/>
      <c r="I32" s="9"/>
      <c r="J32" s="9"/>
      <c r="K32" s="9"/>
      <c r="L32" s="10"/>
      <c r="M32" s="10"/>
      <c r="N32" s="9"/>
      <c r="O32" s="9"/>
      <c r="P32" s="9"/>
      <c r="Q32" s="9"/>
      <c r="R32" s="9"/>
      <c r="S32" s="10"/>
      <c r="T32" s="10"/>
      <c r="U32" s="9"/>
      <c r="V32" s="9"/>
      <c r="W32" s="9"/>
      <c r="X32" s="9"/>
      <c r="Y32" s="9"/>
      <c r="Z32" s="10"/>
      <c r="AA32" s="10"/>
      <c r="AB32" s="9"/>
      <c r="AC32" s="9"/>
      <c r="AD32" s="9"/>
      <c r="AE32" s="9"/>
      <c r="AF32" s="9"/>
      <c r="AG32" s="10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v>0</v>
      </c>
      <c r="C33" s="9"/>
      <c r="D33" s="9"/>
      <c r="E33" s="10"/>
      <c r="F33" s="10"/>
      <c r="G33" s="9"/>
      <c r="H33" s="9"/>
      <c r="I33" s="9"/>
      <c r="J33" s="9"/>
      <c r="K33" s="9"/>
      <c r="L33" s="10"/>
      <c r="M33" s="10"/>
      <c r="N33" s="9"/>
      <c r="O33" s="9"/>
      <c r="P33" s="9"/>
      <c r="Q33" s="9"/>
      <c r="R33" s="9"/>
      <c r="S33" s="10"/>
      <c r="T33" s="10"/>
      <c r="U33" s="9"/>
      <c r="V33" s="9"/>
      <c r="W33" s="9"/>
      <c r="X33" s="9"/>
      <c r="Y33" s="9"/>
      <c r="Z33" s="10"/>
      <c r="AA33" s="10"/>
      <c r="AB33" s="9"/>
      <c r="AC33" s="9"/>
      <c r="AD33" s="9"/>
      <c r="AE33" s="9"/>
      <c r="AF33" s="9"/>
      <c r="AG33" s="10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v>0</v>
      </c>
      <c r="C34" s="9"/>
      <c r="D34" s="9"/>
      <c r="E34" s="10"/>
      <c r="F34" s="10"/>
      <c r="G34" s="9"/>
      <c r="H34" s="9"/>
      <c r="I34" s="9"/>
      <c r="J34" s="9"/>
      <c r="K34" s="9"/>
      <c r="L34" s="10"/>
      <c r="M34" s="10"/>
      <c r="N34" s="9"/>
      <c r="O34" s="9"/>
      <c r="P34" s="9"/>
      <c r="Q34" s="9"/>
      <c r="R34" s="9"/>
      <c r="S34" s="10"/>
      <c r="T34" s="10"/>
      <c r="U34" s="9"/>
      <c r="V34" s="9"/>
      <c r="W34" s="9"/>
      <c r="X34" s="9"/>
      <c r="Y34" s="9"/>
      <c r="Z34" s="10"/>
      <c r="AA34" s="10"/>
      <c r="AB34" s="9"/>
      <c r="AC34" s="9"/>
      <c r="AD34" s="9"/>
      <c r="AE34" s="9"/>
      <c r="AF34" s="9"/>
      <c r="AG34" s="10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v>0</v>
      </c>
      <c r="C35" s="9"/>
      <c r="D35" s="9"/>
      <c r="E35" s="10"/>
      <c r="F35" s="10"/>
      <c r="G35" s="9"/>
      <c r="H35" s="9"/>
      <c r="I35" s="9"/>
      <c r="J35" s="9"/>
      <c r="K35" s="9"/>
      <c r="L35" s="10"/>
      <c r="M35" s="10"/>
      <c r="N35" s="9"/>
      <c r="O35" s="9"/>
      <c r="P35" s="9"/>
      <c r="Q35" s="9"/>
      <c r="R35" s="9"/>
      <c r="S35" s="10"/>
      <c r="T35" s="10"/>
      <c r="U35" s="9"/>
      <c r="V35" s="9"/>
      <c r="W35" s="9"/>
      <c r="X35" s="9"/>
      <c r="Y35" s="9"/>
      <c r="Z35" s="10"/>
      <c r="AA35" s="10"/>
      <c r="AB35" s="9"/>
      <c r="AC35" s="9"/>
      <c r="AD35" s="9"/>
      <c r="AE35" s="9"/>
      <c r="AF35" s="9"/>
      <c r="AG35" s="10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v>0</v>
      </c>
      <c r="C36" s="9"/>
      <c r="D36" s="9"/>
      <c r="E36" s="10"/>
      <c r="F36" s="10"/>
      <c r="G36" s="9"/>
      <c r="H36" s="9"/>
      <c r="I36" s="9"/>
      <c r="J36" s="9"/>
      <c r="K36" s="9"/>
      <c r="L36" s="10"/>
      <c r="M36" s="10"/>
      <c r="N36" s="9"/>
      <c r="O36" s="9"/>
      <c r="P36" s="9"/>
      <c r="Q36" s="9"/>
      <c r="R36" s="9"/>
      <c r="S36" s="10"/>
      <c r="T36" s="10"/>
      <c r="U36" s="9"/>
      <c r="V36" s="9"/>
      <c r="W36" s="9"/>
      <c r="X36" s="9"/>
      <c r="Y36" s="9"/>
      <c r="Z36" s="10"/>
      <c r="AA36" s="10"/>
      <c r="AB36" s="9"/>
      <c r="AC36" s="9"/>
      <c r="AD36" s="9"/>
      <c r="AE36" s="9"/>
      <c r="AF36" s="9"/>
      <c r="AG36" s="10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v>0</v>
      </c>
      <c r="C37" s="9"/>
      <c r="D37" s="9"/>
      <c r="E37" s="10"/>
      <c r="F37" s="10"/>
      <c r="G37" s="9"/>
      <c r="H37" s="9"/>
      <c r="I37" s="9"/>
      <c r="J37" s="9"/>
      <c r="K37" s="9"/>
      <c r="L37" s="10"/>
      <c r="M37" s="10"/>
      <c r="N37" s="9"/>
      <c r="O37" s="9"/>
      <c r="P37" s="9"/>
      <c r="Q37" s="9"/>
      <c r="R37" s="9"/>
      <c r="S37" s="10"/>
      <c r="T37" s="10"/>
      <c r="U37" s="9"/>
      <c r="V37" s="9"/>
      <c r="W37" s="9"/>
      <c r="X37" s="9"/>
      <c r="Y37" s="9"/>
      <c r="Z37" s="10"/>
      <c r="AA37" s="10"/>
      <c r="AB37" s="9"/>
      <c r="AC37" s="9"/>
      <c r="AD37" s="9"/>
      <c r="AE37" s="9"/>
      <c r="AF37" s="9"/>
      <c r="AG37" s="10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v>0</v>
      </c>
      <c r="C38" s="9"/>
      <c r="D38" s="9"/>
      <c r="E38" s="10"/>
      <c r="F38" s="10"/>
      <c r="G38" s="9"/>
      <c r="H38" s="9"/>
      <c r="I38" s="9"/>
      <c r="J38" s="9"/>
      <c r="K38" s="9"/>
      <c r="L38" s="10"/>
      <c r="M38" s="10"/>
      <c r="N38" s="9"/>
      <c r="O38" s="9"/>
      <c r="P38" s="9"/>
      <c r="Q38" s="9"/>
      <c r="R38" s="9"/>
      <c r="S38" s="10"/>
      <c r="T38" s="10"/>
      <c r="U38" s="9"/>
      <c r="V38" s="9"/>
      <c r="W38" s="9"/>
      <c r="X38" s="9"/>
      <c r="Y38" s="9"/>
      <c r="Z38" s="10"/>
      <c r="AA38" s="10"/>
      <c r="AB38" s="9"/>
      <c r="AC38" s="9"/>
      <c r="AD38" s="9"/>
      <c r="AE38" s="9"/>
      <c r="AF38" s="9"/>
      <c r="AG38" s="10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v>0</v>
      </c>
      <c r="C39" s="9"/>
      <c r="D39" s="9"/>
      <c r="E39" s="10"/>
      <c r="F39" s="10"/>
      <c r="G39" s="9"/>
      <c r="H39" s="9"/>
      <c r="I39" s="9"/>
      <c r="J39" s="9"/>
      <c r="K39" s="9"/>
      <c r="L39" s="10"/>
      <c r="M39" s="10"/>
      <c r="N39" s="9"/>
      <c r="O39" s="9"/>
      <c r="P39" s="9"/>
      <c r="Q39" s="9"/>
      <c r="R39" s="9"/>
      <c r="S39" s="10"/>
      <c r="T39" s="10"/>
      <c r="U39" s="9"/>
      <c r="V39" s="9"/>
      <c r="W39" s="9"/>
      <c r="X39" s="9"/>
      <c r="Y39" s="9"/>
      <c r="Z39" s="10"/>
      <c r="AA39" s="10"/>
      <c r="AB39" s="9"/>
      <c r="AC39" s="9"/>
      <c r="AD39" s="9"/>
      <c r="AE39" s="9"/>
      <c r="AF39" s="9"/>
      <c r="AG39" s="10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v>0</v>
      </c>
      <c r="C40" s="9"/>
      <c r="D40" s="9"/>
      <c r="E40" s="10"/>
      <c r="F40" s="10"/>
      <c r="G40" s="9"/>
      <c r="H40" s="9"/>
      <c r="I40" s="9"/>
      <c r="J40" s="9"/>
      <c r="K40" s="9"/>
      <c r="L40" s="10"/>
      <c r="M40" s="10"/>
      <c r="N40" s="9"/>
      <c r="O40" s="9"/>
      <c r="P40" s="9"/>
      <c r="Q40" s="9"/>
      <c r="R40" s="9"/>
      <c r="S40" s="10"/>
      <c r="T40" s="10"/>
      <c r="U40" s="9"/>
      <c r="V40" s="9"/>
      <c r="W40" s="9"/>
      <c r="X40" s="9"/>
      <c r="Y40" s="9"/>
      <c r="Z40" s="10"/>
      <c r="AA40" s="10"/>
      <c r="AB40" s="9"/>
      <c r="AC40" s="9"/>
      <c r="AD40" s="9"/>
      <c r="AE40" s="9"/>
      <c r="AF40" s="9"/>
      <c r="AG40" s="10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v>0</v>
      </c>
      <c r="C41" s="9"/>
      <c r="D41" s="9"/>
      <c r="E41" s="10"/>
      <c r="F41" s="10"/>
      <c r="G41" s="9"/>
      <c r="H41" s="9"/>
      <c r="I41" s="9"/>
      <c r="J41" s="9"/>
      <c r="K41" s="9"/>
      <c r="L41" s="10"/>
      <c r="M41" s="10"/>
      <c r="N41" s="9"/>
      <c r="O41" s="9"/>
      <c r="P41" s="9"/>
      <c r="Q41" s="9"/>
      <c r="R41" s="9"/>
      <c r="S41" s="10"/>
      <c r="T41" s="10"/>
      <c r="U41" s="9"/>
      <c r="V41" s="9"/>
      <c r="W41" s="9"/>
      <c r="X41" s="9"/>
      <c r="Y41" s="9"/>
      <c r="Z41" s="10"/>
      <c r="AA41" s="10"/>
      <c r="AB41" s="9"/>
      <c r="AC41" s="9"/>
      <c r="AD41" s="9"/>
      <c r="AE41" s="9"/>
      <c r="AF41" s="9"/>
      <c r="AG41" s="10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v>0</v>
      </c>
      <c r="C42" s="9"/>
      <c r="D42" s="9"/>
      <c r="E42" s="10"/>
      <c r="F42" s="10"/>
      <c r="G42" s="9"/>
      <c r="H42" s="9"/>
      <c r="I42" s="9"/>
      <c r="J42" s="9"/>
      <c r="K42" s="9"/>
      <c r="L42" s="10"/>
      <c r="M42" s="10"/>
      <c r="N42" s="9"/>
      <c r="O42" s="9"/>
      <c r="P42" s="9"/>
      <c r="Q42" s="9"/>
      <c r="R42" s="9"/>
      <c r="S42" s="10"/>
      <c r="T42" s="10"/>
      <c r="U42" s="9"/>
      <c r="V42" s="9"/>
      <c r="W42" s="9"/>
      <c r="X42" s="9"/>
      <c r="Y42" s="9"/>
      <c r="Z42" s="10"/>
      <c r="AA42" s="10"/>
      <c r="AB42" s="9"/>
      <c r="AC42" s="9"/>
      <c r="AD42" s="9"/>
      <c r="AE42" s="9"/>
      <c r="AF42" s="9"/>
      <c r="AG42" s="10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v>0</v>
      </c>
      <c r="C43" s="9"/>
      <c r="D43" s="9"/>
      <c r="E43" s="10"/>
      <c r="F43" s="10"/>
      <c r="G43" s="9"/>
      <c r="H43" s="9"/>
      <c r="I43" s="9"/>
      <c r="J43" s="9"/>
      <c r="K43" s="9"/>
      <c r="L43" s="10"/>
      <c r="M43" s="10"/>
      <c r="N43" s="9"/>
      <c r="O43" s="9"/>
      <c r="P43" s="9"/>
      <c r="Q43" s="9"/>
      <c r="R43" s="9"/>
      <c r="S43" s="10"/>
      <c r="T43" s="10"/>
      <c r="U43" s="9"/>
      <c r="V43" s="9"/>
      <c r="W43" s="9"/>
      <c r="X43" s="9"/>
      <c r="Y43" s="9"/>
      <c r="Z43" s="10"/>
      <c r="AA43" s="10"/>
      <c r="AB43" s="9"/>
      <c r="AC43" s="9"/>
      <c r="AD43" s="9"/>
      <c r="AE43" s="9"/>
      <c r="AF43" s="9"/>
      <c r="AG43" s="10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v>0</v>
      </c>
      <c r="C44" s="9"/>
      <c r="D44" s="9"/>
      <c r="E44" s="10"/>
      <c r="F44" s="10"/>
      <c r="G44" s="9"/>
      <c r="H44" s="9"/>
      <c r="I44" s="9"/>
      <c r="J44" s="9"/>
      <c r="K44" s="9"/>
      <c r="L44" s="10"/>
      <c r="M44" s="10"/>
      <c r="N44" s="9"/>
      <c r="O44" s="9"/>
      <c r="P44" s="9"/>
      <c r="Q44" s="9"/>
      <c r="R44" s="9"/>
      <c r="S44" s="10"/>
      <c r="T44" s="10"/>
      <c r="U44" s="9"/>
      <c r="V44" s="9"/>
      <c r="W44" s="9"/>
      <c r="X44" s="9"/>
      <c r="Y44" s="9"/>
      <c r="Z44" s="10"/>
      <c r="AA44" s="10"/>
      <c r="AB44" s="9"/>
      <c r="AC44" s="9"/>
      <c r="AD44" s="9"/>
      <c r="AE44" s="9"/>
      <c r="AF44" s="9"/>
      <c r="AG44" s="10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v>0</v>
      </c>
      <c r="C45" s="9"/>
      <c r="D45" s="9"/>
      <c r="E45" s="10"/>
      <c r="F45" s="10"/>
      <c r="G45" s="9"/>
      <c r="H45" s="9"/>
      <c r="I45" s="9"/>
      <c r="J45" s="9"/>
      <c r="K45" s="9"/>
      <c r="L45" s="10"/>
      <c r="M45" s="10"/>
      <c r="N45" s="9"/>
      <c r="O45" s="9"/>
      <c r="P45" s="9"/>
      <c r="Q45" s="9"/>
      <c r="R45" s="9"/>
      <c r="S45" s="10"/>
      <c r="T45" s="10"/>
      <c r="U45" s="9"/>
      <c r="V45" s="9"/>
      <c r="W45" s="9"/>
      <c r="X45" s="9"/>
      <c r="Y45" s="9"/>
      <c r="Z45" s="10"/>
      <c r="AA45" s="10"/>
      <c r="AB45" s="9"/>
      <c r="AC45" s="9"/>
      <c r="AD45" s="9"/>
      <c r="AE45" s="9"/>
      <c r="AF45" s="9"/>
      <c r="AG45" s="10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v>0</v>
      </c>
      <c r="C46" s="9"/>
      <c r="D46" s="9"/>
      <c r="E46" s="10"/>
      <c r="F46" s="10"/>
      <c r="G46" s="9"/>
      <c r="H46" s="9"/>
      <c r="I46" s="9"/>
      <c r="J46" s="9"/>
      <c r="K46" s="9"/>
      <c r="L46" s="10"/>
      <c r="M46" s="10"/>
      <c r="N46" s="9"/>
      <c r="O46" s="9"/>
      <c r="P46" s="9"/>
      <c r="Q46" s="9"/>
      <c r="R46" s="9"/>
      <c r="S46" s="10"/>
      <c r="T46" s="10"/>
      <c r="U46" s="9"/>
      <c r="V46" s="9"/>
      <c r="W46" s="9"/>
      <c r="X46" s="9"/>
      <c r="Y46" s="9"/>
      <c r="Z46" s="10"/>
      <c r="AA46" s="10"/>
      <c r="AB46" s="9"/>
      <c r="AC46" s="9"/>
      <c r="AD46" s="9"/>
      <c r="AE46" s="9"/>
      <c r="AF46" s="9"/>
      <c r="AG46" s="10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v>0</v>
      </c>
      <c r="C47" s="9"/>
      <c r="D47" s="9"/>
      <c r="E47" s="10"/>
      <c r="F47" s="10"/>
      <c r="G47" s="9"/>
      <c r="H47" s="9"/>
      <c r="I47" s="9"/>
      <c r="J47" s="9"/>
      <c r="K47" s="9"/>
      <c r="L47" s="10"/>
      <c r="M47" s="10"/>
      <c r="N47" s="9"/>
      <c r="O47" s="9"/>
      <c r="P47" s="9"/>
      <c r="Q47" s="9"/>
      <c r="R47" s="9"/>
      <c r="S47" s="10"/>
      <c r="T47" s="10"/>
      <c r="U47" s="9"/>
      <c r="V47" s="9"/>
      <c r="W47" s="9"/>
      <c r="X47" s="9"/>
      <c r="Y47" s="9"/>
      <c r="Z47" s="10"/>
      <c r="AA47" s="10"/>
      <c r="AB47" s="9"/>
      <c r="AC47" s="9"/>
      <c r="AD47" s="9"/>
      <c r="AE47" s="9"/>
      <c r="AF47" s="9"/>
      <c r="AG47" s="10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v>0</v>
      </c>
      <c r="C48" s="9"/>
      <c r="D48" s="9"/>
      <c r="E48" s="10"/>
      <c r="F48" s="10"/>
      <c r="G48" s="9"/>
      <c r="H48" s="9"/>
      <c r="I48" s="9"/>
      <c r="J48" s="9"/>
      <c r="K48" s="9"/>
      <c r="L48" s="10"/>
      <c r="M48" s="10"/>
      <c r="N48" s="9"/>
      <c r="O48" s="9"/>
      <c r="P48" s="9"/>
      <c r="Q48" s="9"/>
      <c r="R48" s="9"/>
      <c r="S48" s="10"/>
      <c r="T48" s="10"/>
      <c r="U48" s="9"/>
      <c r="V48" s="9"/>
      <c r="W48" s="9"/>
      <c r="X48" s="9"/>
      <c r="Y48" s="9"/>
      <c r="Z48" s="10"/>
      <c r="AA48" s="10"/>
      <c r="AB48" s="9"/>
      <c r="AC48" s="9"/>
      <c r="AD48" s="9"/>
      <c r="AE48" s="9"/>
      <c r="AF48" s="9"/>
      <c r="AG48" s="10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v>0</v>
      </c>
      <c r="C49" s="9"/>
      <c r="D49" s="9"/>
      <c r="E49" s="10"/>
      <c r="F49" s="10"/>
      <c r="G49" s="9"/>
      <c r="H49" s="9"/>
      <c r="I49" s="9"/>
      <c r="J49" s="9"/>
      <c r="K49" s="9"/>
      <c r="L49" s="10"/>
      <c r="M49" s="10"/>
      <c r="N49" s="9"/>
      <c r="O49" s="9"/>
      <c r="P49" s="9"/>
      <c r="Q49" s="9"/>
      <c r="R49" s="9"/>
      <c r="S49" s="10"/>
      <c r="T49" s="10"/>
      <c r="U49" s="9"/>
      <c r="V49" s="9"/>
      <c r="W49" s="9"/>
      <c r="X49" s="9"/>
      <c r="Y49" s="9"/>
      <c r="Z49" s="10"/>
      <c r="AA49" s="10"/>
      <c r="AB49" s="9"/>
      <c r="AC49" s="9"/>
      <c r="AD49" s="9"/>
      <c r="AE49" s="9"/>
      <c r="AF49" s="9"/>
      <c r="AG49" s="10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v>0</v>
      </c>
      <c r="C50" s="9"/>
      <c r="D50" s="9"/>
      <c r="E50" s="10"/>
      <c r="F50" s="10"/>
      <c r="G50" s="9"/>
      <c r="H50" s="9"/>
      <c r="I50" s="9"/>
      <c r="J50" s="9"/>
      <c r="K50" s="9"/>
      <c r="L50" s="10"/>
      <c r="M50" s="10"/>
      <c r="N50" s="9"/>
      <c r="O50" s="9"/>
      <c r="P50" s="9"/>
      <c r="Q50" s="9"/>
      <c r="R50" s="9"/>
      <c r="S50" s="10"/>
      <c r="T50" s="10"/>
      <c r="U50" s="9"/>
      <c r="V50" s="9"/>
      <c r="W50" s="9"/>
      <c r="X50" s="9"/>
      <c r="Y50" s="9"/>
      <c r="Z50" s="10"/>
      <c r="AA50" s="10"/>
      <c r="AB50" s="9"/>
      <c r="AC50" s="9"/>
      <c r="AD50" s="9"/>
      <c r="AE50" s="9"/>
      <c r="AF50" s="9"/>
      <c r="AG50" s="10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v>0</v>
      </c>
      <c r="C51" s="9"/>
      <c r="D51" s="9"/>
      <c r="E51" s="10"/>
      <c r="F51" s="10"/>
      <c r="G51" s="9"/>
      <c r="H51" s="9"/>
      <c r="I51" s="9"/>
      <c r="J51" s="9"/>
      <c r="K51" s="9"/>
      <c r="L51" s="10"/>
      <c r="M51" s="10"/>
      <c r="N51" s="9"/>
      <c r="O51" s="9"/>
      <c r="P51" s="9"/>
      <c r="Q51" s="9"/>
      <c r="R51" s="9"/>
      <c r="S51" s="10"/>
      <c r="T51" s="10"/>
      <c r="U51" s="9"/>
      <c r="V51" s="9"/>
      <c r="W51" s="9"/>
      <c r="X51" s="9"/>
      <c r="Y51" s="9"/>
      <c r="Z51" s="10"/>
      <c r="AA51" s="10"/>
      <c r="AB51" s="9"/>
      <c r="AC51" s="9"/>
      <c r="AD51" s="9"/>
      <c r="AE51" s="9"/>
      <c r="AF51" s="9"/>
      <c r="AG51" s="10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v>0</v>
      </c>
      <c r="C52" s="9"/>
      <c r="D52" s="9"/>
      <c r="E52" s="10"/>
      <c r="F52" s="10"/>
      <c r="G52" s="9"/>
      <c r="H52" s="9"/>
      <c r="I52" s="9"/>
      <c r="J52" s="9"/>
      <c r="K52" s="9"/>
      <c r="L52" s="10"/>
      <c r="M52" s="10"/>
      <c r="N52" s="9"/>
      <c r="O52" s="9"/>
      <c r="P52" s="9"/>
      <c r="Q52" s="9"/>
      <c r="R52" s="9"/>
      <c r="S52" s="10"/>
      <c r="T52" s="10"/>
      <c r="U52" s="9"/>
      <c r="V52" s="9"/>
      <c r="W52" s="9"/>
      <c r="X52" s="9"/>
      <c r="Y52" s="9"/>
      <c r="Z52" s="10"/>
      <c r="AA52" s="10"/>
      <c r="AB52" s="9"/>
      <c r="AC52" s="9"/>
      <c r="AD52" s="9"/>
      <c r="AE52" s="9"/>
      <c r="AF52" s="9"/>
      <c r="AG52" s="10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v>0</v>
      </c>
      <c r="C53" s="9"/>
      <c r="D53" s="9"/>
      <c r="E53" s="10"/>
      <c r="F53" s="10"/>
      <c r="G53" s="9"/>
      <c r="H53" s="9"/>
      <c r="I53" s="9"/>
      <c r="J53" s="9"/>
      <c r="K53" s="9"/>
      <c r="L53" s="10"/>
      <c r="M53" s="10"/>
      <c r="N53" s="9"/>
      <c r="O53" s="9"/>
      <c r="P53" s="9"/>
      <c r="Q53" s="9"/>
      <c r="R53" s="9"/>
      <c r="S53" s="10"/>
      <c r="T53" s="10"/>
      <c r="U53" s="9"/>
      <c r="V53" s="9"/>
      <c r="W53" s="9"/>
      <c r="X53" s="9"/>
      <c r="Y53" s="9"/>
      <c r="Z53" s="10"/>
      <c r="AA53" s="10"/>
      <c r="AB53" s="9"/>
      <c r="AC53" s="9"/>
      <c r="AD53" s="9"/>
      <c r="AE53" s="9"/>
      <c r="AF53" s="9"/>
      <c r="AG53" s="10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v>0</v>
      </c>
      <c r="C54" s="9"/>
      <c r="D54" s="9"/>
      <c r="E54" s="10"/>
      <c r="F54" s="10"/>
      <c r="G54" s="9"/>
      <c r="H54" s="9"/>
      <c r="I54" s="9"/>
      <c r="J54" s="9"/>
      <c r="K54" s="9"/>
      <c r="L54" s="10"/>
      <c r="M54" s="10"/>
      <c r="N54" s="9"/>
      <c r="O54" s="9"/>
      <c r="P54" s="9"/>
      <c r="Q54" s="9"/>
      <c r="R54" s="9"/>
      <c r="S54" s="10"/>
      <c r="T54" s="10"/>
      <c r="U54" s="9"/>
      <c r="V54" s="9"/>
      <c r="W54" s="9"/>
      <c r="X54" s="9"/>
      <c r="Y54" s="9"/>
      <c r="Z54" s="10"/>
      <c r="AA54" s="10"/>
      <c r="AB54" s="9"/>
      <c r="AC54" s="9"/>
      <c r="AD54" s="9"/>
      <c r="AE54" s="9"/>
      <c r="AF54" s="9"/>
      <c r="AG54" s="10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v>0</v>
      </c>
      <c r="C55" s="9"/>
      <c r="D55" s="9"/>
      <c r="E55" s="10"/>
      <c r="F55" s="10"/>
      <c r="G55" s="9"/>
      <c r="H55" s="9"/>
      <c r="I55" s="9"/>
      <c r="J55" s="9"/>
      <c r="K55" s="9"/>
      <c r="L55" s="10"/>
      <c r="M55" s="10"/>
      <c r="N55" s="9"/>
      <c r="O55" s="9"/>
      <c r="P55" s="9"/>
      <c r="Q55" s="9"/>
      <c r="R55" s="9"/>
      <c r="S55" s="10"/>
      <c r="T55" s="10"/>
      <c r="U55" s="9"/>
      <c r="V55" s="9"/>
      <c r="W55" s="9"/>
      <c r="X55" s="9"/>
      <c r="Y55" s="9"/>
      <c r="Z55" s="10"/>
      <c r="AA55" s="10"/>
      <c r="AB55" s="9"/>
      <c r="AC55" s="9"/>
      <c r="AD55" s="9"/>
      <c r="AE55" s="9"/>
      <c r="AF55" s="9"/>
      <c r="AG55" s="10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</sheetData>
  <mergeCells count="10">
    <mergeCell ref="C1:AG1"/>
    <mergeCell ref="C2:F2"/>
    <mergeCell ref="G2:M2"/>
    <mergeCell ref="N2:T2"/>
    <mergeCell ref="U2:AA2"/>
    <mergeCell ref="AB2:AG2"/>
    <mergeCell ref="AH3:AH5"/>
    <mergeCell ref="AJ3:AJ5"/>
    <mergeCell ref="AK3:AK5"/>
    <mergeCell ref="AL3:AL5"/>
  </mergeCells>
  <conditionalFormatting sqref="C6:AG55">
    <cfRule type="expression" priority="2" aboveAverage="0" equalAverage="0" bottom="0" percent="0" rank="0" text="" dxfId="0">
      <formula>NOT(ISERROR(SEARCH("H1", C6)))</formula>
    </cfRule>
    <cfRule type="expression" priority="3" aboveAverage="0" equalAverage="0" bottom="0" percent="0" rank="0" text="" dxfId="1">
      <formula>NOT(ISERROR(SEARCH("H2", C6)))</formula>
    </cfRule>
    <cfRule type="expression" priority="4" aboveAverage="0" equalAverage="0" bottom="0" percent="0" rank="0" text="" dxfId="2">
      <formula>NOT(ISERROR(SEARCH("H", C6)))</formula>
    </cfRule>
    <cfRule type="expression" priority="5" aboveAverage="0" equalAverage="0" bottom="0" percent="0" rank="0" text="" dxfId="3">
      <formula>NOT(ISERROR(SEARCH("Q", C6)))</formula>
    </cfRule>
    <cfRule type="expression" priority="6" aboveAverage="0" equalAverage="0" bottom="0" percent="0" rank="0" text="" dxfId="4">
      <formula>NOT(ISERROR(SEARCH("I", C6)))</formula>
    </cfRule>
    <cfRule type="expression" priority="7" aboveAverage="0" equalAverage="0" bottom="0" percent="0" rank="0" text="" dxfId="5">
      <formula>NOT(ISERROR(SEARCH("S", C6)))</formula>
    </cfRule>
    <cfRule type="expression" priority="8" aboveAverage="0" equalAverage="0" bottom="0" percent="0" rank="0" text="" dxfId="6">
      <formula>NOT(ISERROR(SEARCH("M", C6)))</formula>
    </cfRule>
    <cfRule type="expression" priority="9" aboveAverage="0" equalAverage="0" bottom="0" percent="0" rank="0" text="" dxfId="7">
      <formula>NOT(ISERROR(SEARCH("C", C6)))</formula>
    </cfRule>
    <cfRule type="expression" priority="10" aboveAverage="0" equalAverage="0" bottom="0" percent="0" rank="0" text="" dxfId="8">
      <formula>NOT(ISERROR(SEARCH("V", C6)))</formula>
    </cfRule>
    <cfRule type="expression" priority="11" aboveAverage="0" equalAverage="0" bottom="0" percent="0" rank="0" text="" dxfId="9">
      <formula>NOT(ISERROR(SEARCH("A", 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B7" activeCellId="0" sqref="AB7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.12"/>
    <col collapsed="false" customWidth="true" hidden="false" outlineLevel="0" max="30" min="3" style="0" width="4"/>
    <col collapsed="false" customWidth="true" hidden="false" outlineLevel="0" max="32" min="32" style="0" width="2"/>
    <col collapsed="false" customWidth="true" hidden="false" outlineLevel="0" max="33" min="33" style="0" width="20"/>
    <col collapsed="false" customWidth="true" hidden="false" outlineLevel="0" max="34" min="34" style="0" width="10"/>
    <col collapsed="false" customWidth="true" hidden="false" outlineLevel="0" max="36" min="36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2" hidden="false" customHeight="true" outlineLevel="0" collapsed="false">
      <c r="C2" s="23" t="s">
        <v>53</v>
      </c>
      <c r="D2" s="1" t="s">
        <v>54</v>
      </c>
      <c r="E2" s="1"/>
      <c r="F2" s="1"/>
      <c r="G2" s="1"/>
      <c r="H2" s="1"/>
      <c r="I2" s="1"/>
      <c r="J2" s="1"/>
      <c r="K2" s="1" t="s">
        <v>55</v>
      </c>
      <c r="L2" s="1"/>
      <c r="M2" s="1"/>
      <c r="N2" s="1"/>
      <c r="O2" s="1"/>
      <c r="P2" s="1"/>
      <c r="Q2" s="1"/>
      <c r="R2" s="1" t="s">
        <v>56</v>
      </c>
      <c r="S2" s="1"/>
      <c r="T2" s="1"/>
      <c r="U2" s="1"/>
      <c r="V2" s="1"/>
      <c r="W2" s="1"/>
      <c r="X2" s="1"/>
      <c r="Y2" s="1" t="s">
        <v>57</v>
      </c>
      <c r="Z2" s="1"/>
      <c r="AA2" s="1"/>
      <c r="AB2" s="1"/>
      <c r="AC2" s="1"/>
      <c r="AD2" s="1"/>
    </row>
    <row r="3" customFormat="false" ht="12" hidden="false" customHeight="true" outlineLevel="0" collapsed="false">
      <c r="B3" s="2"/>
      <c r="C3" s="3" t="s">
        <v>58</v>
      </c>
      <c r="D3" s="3" t="s">
        <v>58</v>
      </c>
      <c r="E3" s="3" t="s">
        <v>58</v>
      </c>
      <c r="F3" s="3" t="s">
        <v>58</v>
      </c>
      <c r="G3" s="3" t="s">
        <v>58</v>
      </c>
      <c r="H3" s="3" t="s">
        <v>58</v>
      </c>
      <c r="I3" s="3" t="s">
        <v>58</v>
      </c>
      <c r="J3" s="3" t="s">
        <v>58</v>
      </c>
      <c r="K3" s="3" t="s">
        <v>58</v>
      </c>
      <c r="L3" s="3" t="s">
        <v>58</v>
      </c>
      <c r="M3" s="3" t="s">
        <v>58</v>
      </c>
      <c r="N3" s="3" t="s">
        <v>58</v>
      </c>
      <c r="O3" s="3" t="s">
        <v>58</v>
      </c>
      <c r="P3" s="3" t="s">
        <v>58</v>
      </c>
      <c r="Q3" s="3" t="s">
        <v>58</v>
      </c>
      <c r="R3" s="3" t="s">
        <v>58</v>
      </c>
      <c r="S3" s="3" t="s">
        <v>58</v>
      </c>
      <c r="T3" s="3" t="s">
        <v>58</v>
      </c>
      <c r="U3" s="3" t="s">
        <v>58</v>
      </c>
      <c r="V3" s="3" t="s">
        <v>58</v>
      </c>
      <c r="W3" s="3" t="s">
        <v>58</v>
      </c>
      <c r="X3" s="3" t="s">
        <v>58</v>
      </c>
      <c r="Y3" s="3" t="s">
        <v>58</v>
      </c>
      <c r="Z3" s="3" t="s">
        <v>58</v>
      </c>
      <c r="AA3" s="3" t="s">
        <v>58</v>
      </c>
      <c r="AB3" s="3" t="s">
        <v>58</v>
      </c>
      <c r="AC3" s="3" t="s">
        <v>58</v>
      </c>
      <c r="AD3" s="3" t="s">
        <v>58</v>
      </c>
      <c r="AE3" s="4" t="s">
        <v>7</v>
      </c>
      <c r="AG3" s="4" t="s">
        <v>8</v>
      </c>
      <c r="AH3" s="4" t="s">
        <v>9</v>
      </c>
      <c r="AI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4"/>
      <c r="AG4" s="4"/>
      <c r="AH4" s="4"/>
      <c r="AI4" s="4"/>
    </row>
    <row r="5" customFormat="false" ht="12" hidden="false" customHeight="true" outlineLevel="0" collapsed="false">
      <c r="B5" s="2"/>
      <c r="C5" s="6" t="s">
        <v>14</v>
      </c>
      <c r="D5" s="6" t="s">
        <v>15</v>
      </c>
      <c r="E5" s="6" t="s">
        <v>16</v>
      </c>
      <c r="F5" s="6" t="s">
        <v>17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11</v>
      </c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11</v>
      </c>
      <c r="AC5" s="6" t="s">
        <v>12</v>
      </c>
      <c r="AD5" s="6" t="s">
        <v>13</v>
      </c>
      <c r="AE5" s="4"/>
      <c r="AG5" s="4"/>
      <c r="AH5" s="4"/>
      <c r="AI5" s="4"/>
    </row>
    <row r="6" customFormat="false" ht="19.5" hidden="false" customHeight="true" outlineLevel="0" collapsed="false">
      <c r="B6" s="8" t="str">
        <f aca="false">'January 2026'!B6</f>
        <v>Patience Tsikudo</v>
      </c>
      <c r="C6" s="10"/>
      <c r="D6" s="9"/>
      <c r="E6" s="9"/>
      <c r="F6" s="9"/>
      <c r="G6" s="9"/>
      <c r="H6" s="9"/>
      <c r="I6" s="10"/>
      <c r="J6" s="10"/>
      <c r="K6" s="9"/>
      <c r="L6" s="9"/>
      <c r="M6" s="9"/>
      <c r="N6" s="9"/>
      <c r="O6" s="9"/>
      <c r="P6" s="10"/>
      <c r="Q6" s="10"/>
      <c r="R6" s="9"/>
      <c r="S6" s="9"/>
      <c r="T6" s="9"/>
      <c r="U6" s="9"/>
      <c r="V6" s="9"/>
      <c r="W6" s="10"/>
      <c r="X6" s="10"/>
      <c r="Y6" s="9"/>
      <c r="Z6" s="9"/>
      <c r="AA6" s="9"/>
      <c r="AB6" s="9"/>
      <c r="AC6" s="9"/>
      <c r="AD6" s="10"/>
      <c r="AE6" s="11" t="n">
        <f aca="false">(COUNTIF(C6:AD6,"H")*1)+(COUNTIF(C6:AD6,"H1")*0.5)+(COUNTIF(C6:AD6,"H2")*0.5)+(COUNTIF(C6:AD6,"Q")*0.25)+(COUNTIF(C6:AD6,"I")*1)+(COUNTIF(C6:AD6,"S")*0)+(COUNTIF(C6:AD6,"M")*1)+(COUNTIF(C6:AD6,"C")*0)+(COUNTIF(C6:AD6,"V")*1)+(COUNTIF(C6:AD6,"A")*1)</f>
        <v>0</v>
      </c>
      <c r="AG6" s="11" t="s">
        <v>21</v>
      </c>
      <c r="AH6" s="12" t="s">
        <v>20</v>
      </c>
      <c r="AI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10"/>
      <c r="D7" s="9"/>
      <c r="E7" s="9"/>
      <c r="F7" s="9" t="s">
        <v>30</v>
      </c>
      <c r="G7" s="9"/>
      <c r="H7" s="9" t="s">
        <v>30</v>
      </c>
      <c r="I7" s="10"/>
      <c r="J7" s="10"/>
      <c r="K7" s="9" t="s">
        <v>30</v>
      </c>
      <c r="L7" s="9"/>
      <c r="M7" s="9"/>
      <c r="N7" s="9"/>
      <c r="O7" s="9"/>
      <c r="P7" s="10"/>
      <c r="Q7" s="10"/>
      <c r="R7" s="9"/>
      <c r="S7" s="9"/>
      <c r="T7" s="9" t="s">
        <v>30</v>
      </c>
      <c r="U7" s="9" t="s">
        <v>30</v>
      </c>
      <c r="V7" s="9"/>
      <c r="W7" s="10"/>
      <c r="X7" s="10"/>
      <c r="Y7" s="9"/>
      <c r="Z7" s="9" t="s">
        <v>30</v>
      </c>
      <c r="AA7" s="9" t="s">
        <v>30</v>
      </c>
      <c r="AB7" s="9" t="s">
        <v>28</v>
      </c>
      <c r="AC7" s="9"/>
      <c r="AD7" s="10"/>
      <c r="AE7" s="11" t="n">
        <f aca="false">(COUNTIF(C7:AD7,"H")*1)+(COUNTIF(C7:AD7,"H1")*0.5)+(COUNTIF(C7:AD7,"H2")*0.5)+(COUNTIF(C7:AD7,"Q")*0.25)+(COUNTIF(C7:AD7,"I")*1)+(COUNTIF(C7:AD7,"S")*0)+(COUNTIF(C7:AD7,"M")*1)+(COUNTIF(C7:AD7,"C")*0)+(COUNTIF(C7:AD7,"V")*1)+(COUNTIF(C7:AD7,"A")*1)</f>
        <v>0.5</v>
      </c>
      <c r="AG7" s="11" t="s">
        <v>24</v>
      </c>
      <c r="AH7" s="14" t="s">
        <v>25</v>
      </c>
      <c r="AI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10"/>
      <c r="D8" s="9"/>
      <c r="E8" s="9"/>
      <c r="F8" s="9" t="s">
        <v>39</v>
      </c>
      <c r="G8" s="9"/>
      <c r="H8" s="9" t="s">
        <v>42</v>
      </c>
      <c r="I8" s="10"/>
      <c r="J8" s="10"/>
      <c r="K8" s="9"/>
      <c r="L8" s="9"/>
      <c r="M8" s="9"/>
      <c r="N8" s="9"/>
      <c r="O8" s="9"/>
      <c r="P8" s="10"/>
      <c r="Q8" s="10"/>
      <c r="R8" s="9"/>
      <c r="S8" s="9"/>
      <c r="T8" s="9"/>
      <c r="U8" s="9"/>
      <c r="V8" s="9" t="s">
        <v>19</v>
      </c>
      <c r="W8" s="10"/>
      <c r="X8" s="10"/>
      <c r="Y8" s="9"/>
      <c r="Z8" s="9"/>
      <c r="AA8" s="9"/>
      <c r="AB8" s="9"/>
      <c r="AC8" s="9"/>
      <c r="AD8" s="10"/>
      <c r="AE8" s="11" t="n">
        <f aca="false">(COUNTIF(C8:AD8,"H")*1)+(COUNTIF(C8:AD8,"H1")*0.5)+(COUNTIF(C8:AD8,"H2")*0.5)+(COUNTIF(C8:AD8,"Q")*0.25)+(COUNTIF(C8:AD8,"I")*1)+(COUNTIF(C8:AD8,"S")*0)+(COUNTIF(C8:AD8,"M")*1)+(COUNTIF(C8:AD8,"C")*0)+(COUNTIF(C8:AD8,"V")*1)+(COUNTIF(C8:AD8,"A")*1)</f>
        <v>2</v>
      </c>
      <c r="AG8" s="11" t="s">
        <v>27</v>
      </c>
      <c r="AH8" s="14" t="s">
        <v>28</v>
      </c>
      <c r="AI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10"/>
      <c r="D9" s="9"/>
      <c r="E9" s="9"/>
      <c r="F9" s="9"/>
      <c r="G9" s="9"/>
      <c r="H9" s="9"/>
      <c r="I9" s="10"/>
      <c r="J9" s="10"/>
      <c r="K9" s="9" t="s">
        <v>30</v>
      </c>
      <c r="L9" s="9"/>
      <c r="M9" s="9"/>
      <c r="N9" s="9"/>
      <c r="O9" s="9"/>
      <c r="P9" s="10"/>
      <c r="Q9" s="10"/>
      <c r="R9" s="9"/>
      <c r="S9" s="9"/>
      <c r="T9" s="9"/>
      <c r="U9" s="9"/>
      <c r="V9" s="9"/>
      <c r="W9" s="10"/>
      <c r="X9" s="10"/>
      <c r="Y9" s="9"/>
      <c r="Z9" s="9"/>
      <c r="AA9" s="9"/>
      <c r="AB9" s="9"/>
      <c r="AC9" s="9"/>
      <c r="AD9" s="10"/>
      <c r="AE9" s="11" t="n">
        <f aca="false">(COUNTIF(C9:AD9,"H")*1)+(COUNTIF(C9:AD9,"H1")*0.5)+(COUNTIF(C9:AD9,"H2")*0.5)+(COUNTIF(C9:AD9,"Q")*0.25)+(COUNTIF(C9:AD9,"I")*1)+(COUNTIF(C9:AD9,"S")*0)+(COUNTIF(C9:AD9,"M")*1)+(COUNTIF(C9:AD9,"C")*0)+(COUNTIF(C9:AD9,"V")*1)+(COUNTIF(C9:AD9,"A")*1)</f>
        <v>0</v>
      </c>
      <c r="AG9" s="11" t="s">
        <v>31</v>
      </c>
      <c r="AH9" s="15" t="s">
        <v>32</v>
      </c>
      <c r="AI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10"/>
      <c r="D10" s="9"/>
      <c r="E10" s="9"/>
      <c r="F10" s="9"/>
      <c r="G10" s="9"/>
      <c r="H10" s="9"/>
      <c r="I10" s="10"/>
      <c r="J10" s="10"/>
      <c r="K10" s="9"/>
      <c r="L10" s="9"/>
      <c r="M10" s="9"/>
      <c r="N10" s="9"/>
      <c r="O10" s="9"/>
      <c r="P10" s="10"/>
      <c r="Q10" s="10"/>
      <c r="R10" s="9"/>
      <c r="S10" s="9"/>
      <c r="T10" s="9"/>
      <c r="U10" s="9"/>
      <c r="V10" s="9"/>
      <c r="W10" s="10"/>
      <c r="X10" s="10"/>
      <c r="Y10" s="9"/>
      <c r="Z10" s="9"/>
      <c r="AA10" s="9"/>
      <c r="AB10" s="9"/>
      <c r="AC10" s="9"/>
      <c r="AD10" s="10"/>
      <c r="AE10" s="11" t="n">
        <f aca="false">(COUNTIF(C10:AD10,"H")*1)+(COUNTIF(C10:AD10,"H1")*0.5)+(COUNTIF(C10:AD10,"H2")*0.5)+(COUNTIF(C10:AD10,"Q")*0.25)+(COUNTIF(C10:AD10,"I")*1)+(COUNTIF(C10:AD10,"S")*0)+(COUNTIF(C10:AD10,"M")*1)+(COUNTIF(C10:AD10,"C")*0)+(COUNTIF(C10:AD10,"V")*1)+(COUNTIF(C10:AD10,"A")*1)</f>
        <v>0</v>
      </c>
      <c r="AG10" s="11" t="s">
        <v>34</v>
      </c>
      <c r="AH10" s="17" t="s">
        <v>23</v>
      </c>
      <c r="AI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10"/>
      <c r="D11" s="9" t="s">
        <v>30</v>
      </c>
      <c r="E11" s="9"/>
      <c r="F11" s="9"/>
      <c r="G11" s="9"/>
      <c r="H11" s="9"/>
      <c r="I11" s="10"/>
      <c r="J11" s="10"/>
      <c r="K11" s="9" t="s">
        <v>25</v>
      </c>
      <c r="L11" s="9"/>
      <c r="M11" s="9"/>
      <c r="N11" s="9"/>
      <c r="O11" s="9"/>
      <c r="P11" s="10"/>
      <c r="Q11" s="10"/>
      <c r="R11" s="9"/>
      <c r="S11" s="9" t="s">
        <v>28</v>
      </c>
      <c r="T11" s="9"/>
      <c r="U11" s="9"/>
      <c r="V11" s="9"/>
      <c r="W11" s="10"/>
      <c r="X11" s="10"/>
      <c r="Y11" s="9"/>
      <c r="Z11" s="9"/>
      <c r="AA11" s="9"/>
      <c r="AB11" s="9"/>
      <c r="AC11" s="9"/>
      <c r="AD11" s="10"/>
      <c r="AE11" s="11" t="n">
        <f aca="false">(COUNTIF(C11:AD11,"H")*1)+(COUNTIF(C11:AD11,"H1")*0.5)+(COUNTIF(C11:AD11,"H2")*0.5)+(COUNTIF(C11:AD11,"Q")*0.25)+(COUNTIF(C11:AD11,"I")*1)+(COUNTIF(C11:AD11,"S")*0)+(COUNTIF(C11:AD11,"M")*1)+(COUNTIF(C11:AD11,"C")*0)+(COUNTIF(C11:AD11,"V")*1)+(COUNTIF(C11:AD11,"A")*1)</f>
        <v>1</v>
      </c>
      <c r="AG11" s="11" t="s">
        <v>36</v>
      </c>
      <c r="AH11" s="18" t="s">
        <v>30</v>
      </c>
      <c r="AI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10"/>
      <c r="D12" s="9"/>
      <c r="E12" s="9"/>
      <c r="F12" s="9"/>
      <c r="G12" s="9"/>
      <c r="H12" s="9"/>
      <c r="I12" s="10"/>
      <c r="J12" s="10"/>
      <c r="K12" s="9"/>
      <c r="L12" s="9"/>
      <c r="M12" s="9"/>
      <c r="N12" s="9"/>
      <c r="O12" s="9"/>
      <c r="P12" s="10"/>
      <c r="Q12" s="10"/>
      <c r="R12" s="9"/>
      <c r="S12" s="9"/>
      <c r="T12" s="9"/>
      <c r="U12" s="9"/>
      <c r="V12" s="9"/>
      <c r="W12" s="10"/>
      <c r="X12" s="10"/>
      <c r="Y12" s="9"/>
      <c r="Z12" s="9"/>
      <c r="AA12" s="9"/>
      <c r="AB12" s="9"/>
      <c r="AC12" s="9"/>
      <c r="AD12" s="10"/>
      <c r="AE12" s="11" t="n">
        <f aca="false">(COUNTIF(C12:AD12,"H")*1)+(COUNTIF(C12:AD12,"H1")*0.5)+(COUNTIF(C12:AD12,"H2")*0.5)+(COUNTIF(C12:AD12,"Q")*0.25)+(COUNTIF(C12:AD12,"I")*1)+(COUNTIF(C12:AD12,"S")*0)+(COUNTIF(C12:AD12,"M")*1)+(COUNTIF(C12:AD12,"C")*0)+(COUNTIF(C12:AD12,"V")*1)+(COUNTIF(C12:AD12,"A")*1)</f>
        <v>0</v>
      </c>
      <c r="AG12" s="11" t="s">
        <v>38</v>
      </c>
      <c r="AH12" s="19" t="s">
        <v>39</v>
      </c>
      <c r="AI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10"/>
      <c r="D13" s="9"/>
      <c r="E13" s="9"/>
      <c r="F13" s="9"/>
      <c r="G13" s="9"/>
      <c r="H13" s="9"/>
      <c r="I13" s="10"/>
      <c r="J13" s="10"/>
      <c r="K13" s="9"/>
      <c r="L13" s="9"/>
      <c r="M13" s="9"/>
      <c r="N13" s="9"/>
      <c r="O13" s="9"/>
      <c r="P13" s="10"/>
      <c r="Q13" s="10"/>
      <c r="R13" s="9"/>
      <c r="S13" s="9"/>
      <c r="T13" s="9"/>
      <c r="U13" s="9"/>
      <c r="V13" s="9"/>
      <c r="W13" s="10"/>
      <c r="X13" s="10"/>
      <c r="Y13" s="9"/>
      <c r="Z13" s="9"/>
      <c r="AA13" s="9"/>
      <c r="AB13" s="9"/>
      <c r="AC13" s="9"/>
      <c r="AD13" s="10"/>
      <c r="AE13" s="11" t="n">
        <f aca="false">(COUNTIF(C13:AD13,"H")*1)+(COUNTIF(C13:AD13,"H1")*0.5)+(COUNTIF(C13:AD13,"H2")*0.5)+(COUNTIF(C13:AD13,"Q")*0.25)+(COUNTIF(C13:AD13,"I")*1)+(COUNTIF(C13:AD13,"S")*0)+(COUNTIF(C13:AD13,"M")*1)+(COUNTIF(C13:AD13,"C")*0)+(COUNTIF(C13:AD13,"V")*1)+(COUNTIF(C13:AD13,"A")*1)</f>
        <v>0</v>
      </c>
      <c r="AG13" s="11" t="s">
        <v>41</v>
      </c>
      <c r="AH13" s="20" t="s">
        <v>42</v>
      </c>
      <c r="AI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10"/>
      <c r="D14" s="9"/>
      <c r="E14" s="9"/>
      <c r="F14" s="9"/>
      <c r="G14" s="9"/>
      <c r="H14" s="9"/>
      <c r="I14" s="10"/>
      <c r="J14" s="10"/>
      <c r="K14" s="9" t="s">
        <v>30</v>
      </c>
      <c r="L14" s="9" t="s">
        <v>30</v>
      </c>
      <c r="M14" s="9" t="s">
        <v>30</v>
      </c>
      <c r="N14" s="9" t="s">
        <v>19</v>
      </c>
      <c r="O14" s="9"/>
      <c r="P14" s="10"/>
      <c r="Q14" s="10"/>
      <c r="R14" s="9"/>
      <c r="S14" s="9"/>
      <c r="T14" s="9"/>
      <c r="U14" s="9"/>
      <c r="V14" s="9"/>
      <c r="W14" s="10"/>
      <c r="X14" s="10"/>
      <c r="Y14" s="9"/>
      <c r="Z14" s="9"/>
      <c r="AA14" s="9"/>
      <c r="AB14" s="9"/>
      <c r="AC14" s="9"/>
      <c r="AD14" s="10"/>
      <c r="AE14" s="11" t="n">
        <f aca="false">(COUNTIF(C14:AD14,"H")*1)+(COUNTIF(C14:AD14,"H1")*0.5)+(COUNTIF(C14:AD14,"H2")*0.5)+(COUNTIF(C14:AD14,"Q")*0.25)+(COUNTIF(C14:AD14,"I")*1)+(COUNTIF(C14:AD14,"S")*0)+(COUNTIF(C14:AD14,"M")*1)+(COUNTIF(C14:AD14,"C")*0)+(COUNTIF(C14:AD14,"V")*1)+(COUNTIF(C14:AD14,"A")*1)</f>
        <v>1</v>
      </c>
      <c r="AG14" s="11" t="s">
        <v>44</v>
      </c>
      <c r="AH14" s="21" t="s">
        <v>19</v>
      </c>
      <c r="AI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10"/>
      <c r="D15" s="9"/>
      <c r="E15" s="9"/>
      <c r="F15" s="9"/>
      <c r="G15" s="9"/>
      <c r="H15" s="9"/>
      <c r="I15" s="10"/>
      <c r="J15" s="10"/>
      <c r="K15" s="9"/>
      <c r="L15" s="9"/>
      <c r="M15" s="9"/>
      <c r="N15" s="9"/>
      <c r="O15" s="9"/>
      <c r="P15" s="10"/>
      <c r="Q15" s="10"/>
      <c r="R15" s="9"/>
      <c r="S15" s="9"/>
      <c r="T15" s="9"/>
      <c r="U15" s="9"/>
      <c r="V15" s="9"/>
      <c r="W15" s="10"/>
      <c r="X15" s="10"/>
      <c r="Y15" s="9"/>
      <c r="Z15" s="9"/>
      <c r="AA15" s="9"/>
      <c r="AB15" s="9"/>
      <c r="AC15" s="9"/>
      <c r="AD15" s="10"/>
      <c r="AE15" s="11" t="n">
        <f aca="false">(COUNTIF(C15:AD15,"H")*1)+(COUNTIF(C15:AD15,"H1")*0.5)+(COUNTIF(C15:AD15,"H2")*0.5)+(COUNTIF(C15:AD15,"Q")*0.25)+(COUNTIF(C15:AD15,"I")*1)+(COUNTIF(C15:AD15,"S")*0)+(COUNTIF(C15:AD15,"M")*1)+(COUNTIF(C15:AD15,"C")*0)+(COUNTIF(C15:AD15,"V")*1)+(COUNTIF(C15:AD15,"A")*1)</f>
        <v>0</v>
      </c>
      <c r="AG15" s="11" t="s">
        <v>46</v>
      </c>
      <c r="AH15" s="22" t="s">
        <v>47</v>
      </c>
      <c r="AI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10"/>
      <c r="D16" s="9"/>
      <c r="E16" s="9"/>
      <c r="F16" s="9"/>
      <c r="G16" s="9"/>
      <c r="H16" s="9"/>
      <c r="I16" s="10"/>
      <c r="J16" s="10"/>
      <c r="K16" s="9"/>
      <c r="L16" s="9"/>
      <c r="M16" s="9"/>
      <c r="N16" s="9"/>
      <c r="O16" s="9"/>
      <c r="P16" s="10"/>
      <c r="Q16" s="10"/>
      <c r="R16" s="9"/>
      <c r="S16" s="9"/>
      <c r="T16" s="9"/>
      <c r="U16" s="9"/>
      <c r="V16" s="9"/>
      <c r="W16" s="10"/>
      <c r="X16" s="10"/>
      <c r="Y16" s="9"/>
      <c r="Z16" s="9"/>
      <c r="AA16" s="9"/>
      <c r="AB16" s="9"/>
      <c r="AC16" s="9"/>
      <c r="AD16" s="10"/>
      <c r="AE16" s="11" t="n">
        <f aca="false">(COUNTIF(C16:AD16,"H")*1)+(COUNTIF(C16:AD16,"H1")*0.5)+(COUNTIF(C16:AD16,"H2")*0.5)+(COUNTIF(C16:AD16,"Q")*0.25)+(COUNTIF(C16:AD16,"I")*1)+(COUNTIF(C16:AD16,"S")*0)+(COUNTIF(C16:AD16,"M")*1)+(COUNTIF(C16:AD16,"C")*0)+(COUNTIF(C16:AD16,"V")*1)+(COUNTIF(C16:AD16,"A")*1)</f>
        <v>0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10"/>
      <c r="D17" s="9"/>
      <c r="E17" s="9"/>
      <c r="F17" s="9"/>
      <c r="G17" s="9" t="s">
        <v>42</v>
      </c>
      <c r="H17" s="9"/>
      <c r="I17" s="10"/>
      <c r="J17" s="10"/>
      <c r="K17" s="9" t="s">
        <v>19</v>
      </c>
      <c r="L17" s="9"/>
      <c r="M17" s="9"/>
      <c r="N17" s="9"/>
      <c r="O17" s="9"/>
      <c r="P17" s="10"/>
      <c r="Q17" s="10"/>
      <c r="R17" s="9" t="s">
        <v>25</v>
      </c>
      <c r="S17" s="9"/>
      <c r="T17" s="9"/>
      <c r="U17" s="9"/>
      <c r="V17" s="9" t="s">
        <v>32</v>
      </c>
      <c r="W17" s="10"/>
      <c r="X17" s="10"/>
      <c r="Y17" s="9"/>
      <c r="Z17" s="9"/>
      <c r="AA17" s="9"/>
      <c r="AB17" s="9"/>
      <c r="AC17" s="9"/>
      <c r="AD17" s="10"/>
      <c r="AE17" s="11" t="n">
        <f aca="false">(COUNTIF(C17:AD17,"H")*1)+(COUNTIF(C17:AD17,"H1")*0.5)+(COUNTIF(C17:AD17,"H2")*0.5)+(COUNTIF(C17:AD17,"Q")*0.25)+(COUNTIF(C17:AD17,"I")*1)+(COUNTIF(C17:AD17,"S")*0)+(COUNTIF(C17:AD17,"M")*1)+(COUNTIF(C17:AD17,"C")*0)+(COUNTIF(C17:AD17,"V")*1)+(COUNTIF(C17:AD17,"A")*1)</f>
        <v>1.75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10"/>
      <c r="D18" s="9"/>
      <c r="E18" s="9"/>
      <c r="F18" s="9" t="s">
        <v>32</v>
      </c>
      <c r="G18" s="9"/>
      <c r="H18" s="9"/>
      <c r="I18" s="10"/>
      <c r="J18" s="10"/>
      <c r="K18" s="9"/>
      <c r="L18" s="9"/>
      <c r="M18" s="9"/>
      <c r="N18" s="9"/>
      <c r="O18" s="9"/>
      <c r="P18" s="10"/>
      <c r="Q18" s="10"/>
      <c r="R18" s="9"/>
      <c r="S18" s="9"/>
      <c r="T18" s="9"/>
      <c r="U18" s="9"/>
      <c r="V18" s="9"/>
      <c r="W18" s="10"/>
      <c r="X18" s="10"/>
      <c r="Y18" s="9"/>
      <c r="Z18" s="9"/>
      <c r="AA18" s="9"/>
      <c r="AB18" s="9"/>
      <c r="AC18" s="9"/>
      <c r="AD18" s="10"/>
      <c r="AE18" s="11" t="n">
        <f aca="false">(COUNTIF(C18:AD18,"H")*1)+(COUNTIF(C18:AD18,"H1")*0.5)+(COUNTIF(C18:AD18,"H2")*0.5)+(COUNTIF(C18:AD18,"Q")*0.25)+(COUNTIF(C18:AD18,"I")*1)+(COUNTIF(C18:AD18,"S")*0)+(COUNTIF(C18:AD18,"M")*1)+(COUNTIF(C18:AD18,"C")*0)+(COUNTIF(C18:AD18,"V")*1)+(COUNTIF(C18:AD18,"A")*1)</f>
        <v>0.25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10"/>
      <c r="D19" s="9"/>
      <c r="E19" s="9"/>
      <c r="F19" s="9"/>
      <c r="G19" s="9"/>
      <c r="H19" s="9"/>
      <c r="I19" s="10"/>
      <c r="J19" s="10"/>
      <c r="K19" s="9"/>
      <c r="L19" s="9"/>
      <c r="M19" s="9"/>
      <c r="N19" s="9"/>
      <c r="O19" s="9"/>
      <c r="P19" s="10"/>
      <c r="Q19" s="10"/>
      <c r="R19" s="9"/>
      <c r="S19" s="9"/>
      <c r="T19" s="9"/>
      <c r="U19" s="9"/>
      <c r="V19" s="9"/>
      <c r="W19" s="10"/>
      <c r="X19" s="10"/>
      <c r="Y19" s="9"/>
      <c r="Z19" s="9"/>
      <c r="AA19" s="9"/>
      <c r="AB19" s="9"/>
      <c r="AC19" s="9"/>
      <c r="AD19" s="10"/>
      <c r="AE19" s="11" t="n">
        <f aca="false">(COUNTIF(C19:AD19,"H")*1)+(COUNTIF(C19:AD19,"H1")*0.5)+(COUNTIF(C19:AD19,"H2")*0.5)+(COUNTIF(C19:AD19,"Q")*0.25)+(COUNTIF(C19:AD19,"I")*1)+(COUNTIF(C19:AD19,"S")*0)+(COUNTIF(C19:AD19,"M")*1)+(COUNTIF(C19:AD19,"C")*0)+(COUNTIF(C19:AD19,"V")*1)+(COUNTIF(C19:AD19,"A")*1)</f>
        <v>0</v>
      </c>
    </row>
    <row r="20" customFormat="false" ht="19.5" hidden="false" customHeight="true" outlineLevel="0" collapsed="false">
      <c r="B20" s="8" t="n">
        <f aca="false">'January 2026'!B20</f>
        <v>0</v>
      </c>
      <c r="C20" s="10"/>
      <c r="D20" s="9"/>
      <c r="E20" s="9"/>
      <c r="F20" s="9"/>
      <c r="G20" s="9"/>
      <c r="H20" s="9"/>
      <c r="I20" s="10"/>
      <c r="J20" s="10"/>
      <c r="K20" s="9"/>
      <c r="L20" s="9"/>
      <c r="M20" s="9" t="s">
        <v>32</v>
      </c>
      <c r="N20" s="9"/>
      <c r="O20" s="9"/>
      <c r="P20" s="10"/>
      <c r="Q20" s="10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10"/>
      <c r="AE20" s="11" t="n">
        <f aca="false">(COUNTIF(C20:AD20,"H")*1)+(COUNTIF(C20:AD20,"H1")*0.5)+(COUNTIF(C20:AD20,"H2")*0.5)+(COUNTIF(C20:AD20,"Q")*0.25)+(COUNTIF(C20:AD20,"I")*1)+(COUNTIF(C20:AD20,"S")*0)+(COUNTIF(C20:AD20,"M")*1)+(COUNTIF(C20:AD20,"C")*0)+(COUNTIF(C20:AD20,"V")*1)+(COUNTIF(C20:AD20,"A")*1)</f>
        <v>0.25</v>
      </c>
    </row>
    <row r="21" customFormat="false" ht="19.5" hidden="false" customHeight="true" outlineLevel="0" collapsed="false">
      <c r="B21" s="8" t="n">
        <f aca="false">'January 2026'!B21</f>
        <v>0</v>
      </c>
      <c r="C21" s="10"/>
      <c r="D21" s="9"/>
      <c r="E21" s="9"/>
      <c r="F21" s="9"/>
      <c r="G21" s="9"/>
      <c r="H21" s="9"/>
      <c r="I21" s="10"/>
      <c r="J21" s="10"/>
      <c r="K21" s="9"/>
      <c r="L21" s="9"/>
      <c r="M21" s="9"/>
      <c r="N21" s="9"/>
      <c r="O21" s="9"/>
      <c r="P21" s="10"/>
      <c r="Q21" s="10"/>
      <c r="R21" s="9"/>
      <c r="S21" s="9"/>
      <c r="T21" s="9"/>
      <c r="U21" s="9"/>
      <c r="V21" s="9"/>
      <c r="W21" s="10"/>
      <c r="X21" s="10"/>
      <c r="Y21" s="9"/>
      <c r="Z21" s="9"/>
      <c r="AA21" s="9"/>
      <c r="AB21" s="9"/>
      <c r="AC21" s="9"/>
      <c r="AD21" s="10"/>
      <c r="AE21" s="11" t="n">
        <f aca="false">(COUNTIF(C21:AD21,"H")*1)+(COUNTIF(C21:AD21,"H1")*0.5)+(COUNTIF(C21:AD21,"H2")*0.5)+(COUNTIF(C21:AD21,"Q")*0.25)+(COUNTIF(C21:AD21,"I")*1)+(COUNTIF(C21:AD21,"S")*0)+(COUNTIF(C21:AD21,"M")*1)+(COUNTIF(C21:AD21,"C")*0)+(COUNTIF(C21:AD21,"V")*1)+(COUNTIF(C21:AD21,"A")*1)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10"/>
      <c r="D22" s="9"/>
      <c r="E22" s="9"/>
      <c r="F22" s="9"/>
      <c r="G22" s="9"/>
      <c r="H22" s="9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1" t="n">
        <f aca="false">(COUNTIF(C22:AD22,"H")*1)+(COUNTIF(C22:AD22,"H1")*0.5)+(COUNTIF(C22:AD22,"H2")*0.5)+(COUNTIF(C22:AD22,"Q")*0.25)+(COUNTIF(C22:AD22,"I")*1)+(COUNTIF(C22:AD22,"S")*0)+(COUNTIF(C22:AD22,"M")*1)+(COUNTIF(C22:AD22,"C")*0)+(COUNTIF(C22:AD22,"V")*1)+(COUNTIF(C22:AD22,"A")*1)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10"/>
      <c r="D23" s="9"/>
      <c r="E23" s="9"/>
      <c r="F23" s="9"/>
      <c r="G23" s="9"/>
      <c r="H23" s="9"/>
      <c r="I23" s="10"/>
      <c r="J23" s="10"/>
      <c r="K23" s="9"/>
      <c r="L23" s="9"/>
      <c r="M23" s="9"/>
      <c r="N23" s="9"/>
      <c r="O23" s="9"/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1" t="n">
        <f aca="false">(COUNTIF(C23:AD23,"H")*1)+(COUNTIF(C23:AD23,"H1")*0.5)+(COUNTIF(C23:AD23,"H2")*0.5)+(COUNTIF(C23:AD23,"Q")*0.25)+(COUNTIF(C23:AD23,"I")*1)+(COUNTIF(C23:AD23,"S")*0)+(COUNTIF(C23:AD23,"M")*1)+(COUNTIF(C23:AD23,"C")*0)+(COUNTIF(C23:AD23,"V")*1)+(COUNTIF(C23:AD23,"A")*1)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10"/>
      <c r="D24" s="9"/>
      <c r="E24" s="9"/>
      <c r="F24" s="9"/>
      <c r="G24" s="9"/>
      <c r="H24" s="9"/>
      <c r="I24" s="10"/>
      <c r="J24" s="10"/>
      <c r="K24" s="9"/>
      <c r="L24" s="9"/>
      <c r="M24" s="9"/>
      <c r="N24" s="9"/>
      <c r="O24" s="9"/>
      <c r="P24" s="10"/>
      <c r="Q24" s="10"/>
      <c r="R24" s="9"/>
      <c r="S24" s="9"/>
      <c r="T24" s="9"/>
      <c r="U24" s="9"/>
      <c r="V24" s="9"/>
      <c r="W24" s="10"/>
      <c r="X24" s="10"/>
      <c r="Y24" s="9"/>
      <c r="Z24" s="9"/>
      <c r="AA24" s="9"/>
      <c r="AB24" s="9"/>
      <c r="AC24" s="9"/>
      <c r="AD24" s="10"/>
      <c r="AE24" s="11" t="n">
        <f aca="false">(COUNTIF(C24:AD24,"H")*1)+(COUNTIF(C24:AD24,"H1")*0.5)+(COUNTIF(C24:AD24,"H2")*0.5)+(COUNTIF(C24:AD24,"Q")*0.25)+(COUNTIF(C24:AD24,"I")*1)+(COUNTIF(C24:AD24,"S")*0)+(COUNTIF(C24:AD24,"M")*1)+(COUNTIF(C24:AD24,"C")*0)+(COUNTIF(C24:AD24,"V")*1)+(COUNTIF(C24:AD24,"A")*1)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10"/>
      <c r="D25" s="9"/>
      <c r="E25" s="9"/>
      <c r="F25" s="9"/>
      <c r="G25" s="9"/>
      <c r="H25" s="9"/>
      <c r="I25" s="10"/>
      <c r="J25" s="10"/>
      <c r="K25" s="9"/>
      <c r="L25" s="9"/>
      <c r="M25" s="9"/>
      <c r="N25" s="9"/>
      <c r="O25" s="9"/>
      <c r="P25" s="10"/>
      <c r="Q25" s="10"/>
      <c r="R25" s="9"/>
      <c r="S25" s="9"/>
      <c r="T25" s="9"/>
      <c r="U25" s="9"/>
      <c r="V25" s="9"/>
      <c r="W25" s="10"/>
      <c r="X25" s="10"/>
      <c r="Y25" s="9"/>
      <c r="Z25" s="9"/>
      <c r="AA25" s="9"/>
      <c r="AB25" s="9"/>
      <c r="AC25" s="9"/>
      <c r="AD25" s="10"/>
      <c r="AE25" s="11" t="n">
        <f aca="false">(COUNTIF(C25:AD25,"H")*1)+(COUNTIF(C25:AD25,"H1")*0.5)+(COUNTIF(C25:AD25,"H2")*0.5)+(COUNTIF(C25:AD25,"Q")*0.25)+(COUNTIF(C25:AD25,"I")*1)+(COUNTIF(C25:AD25,"S")*0)+(COUNTIF(C25:AD25,"M")*1)+(COUNTIF(C25:AD25,"C")*0)+(COUNTIF(C25:AD25,"V")*1)+(COUNTIF(C25:AD25,"A")*1)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10"/>
      <c r="D26" s="9"/>
      <c r="E26" s="9"/>
      <c r="F26" s="9"/>
      <c r="G26" s="9"/>
      <c r="H26" s="9"/>
      <c r="I26" s="10"/>
      <c r="J26" s="10"/>
      <c r="K26" s="9"/>
      <c r="L26" s="9"/>
      <c r="M26" s="9"/>
      <c r="N26" s="9"/>
      <c r="O26" s="9"/>
      <c r="P26" s="10"/>
      <c r="Q26" s="10"/>
      <c r="R26" s="9"/>
      <c r="S26" s="9"/>
      <c r="T26" s="9"/>
      <c r="U26" s="9"/>
      <c r="V26" s="9"/>
      <c r="W26" s="10"/>
      <c r="X26" s="10"/>
      <c r="Y26" s="9"/>
      <c r="Z26" s="9"/>
      <c r="AA26" s="9"/>
      <c r="AB26" s="9"/>
      <c r="AC26" s="9"/>
      <c r="AD26" s="10"/>
      <c r="AE26" s="11" t="n">
        <f aca="false">(COUNTIF(C26:AD26,"H")*1)+(COUNTIF(C26:AD26,"H1")*0.5)+(COUNTIF(C26:AD26,"H2")*0.5)+(COUNTIF(C26:AD26,"Q")*0.25)+(COUNTIF(C26:AD26,"I")*1)+(COUNTIF(C26:AD26,"S")*0)+(COUNTIF(C26:AD26,"M")*1)+(COUNTIF(C26:AD26,"C")*0)+(COUNTIF(C26:AD26,"V")*1)+(COUNTIF(C26:AD26,"A")*1)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10"/>
      <c r="D27" s="9"/>
      <c r="E27" s="9"/>
      <c r="F27" s="9"/>
      <c r="G27" s="9"/>
      <c r="H27" s="9"/>
      <c r="I27" s="10"/>
      <c r="J27" s="10"/>
      <c r="K27" s="9"/>
      <c r="L27" s="9"/>
      <c r="M27" s="9"/>
      <c r="N27" s="9"/>
      <c r="O27" s="9"/>
      <c r="P27" s="10"/>
      <c r="Q27" s="10"/>
      <c r="R27" s="9"/>
      <c r="S27" s="9"/>
      <c r="T27" s="9"/>
      <c r="U27" s="9"/>
      <c r="V27" s="9"/>
      <c r="W27" s="10"/>
      <c r="X27" s="10"/>
      <c r="Y27" s="9"/>
      <c r="Z27" s="9"/>
      <c r="AA27" s="9"/>
      <c r="AB27" s="9"/>
      <c r="AC27" s="9"/>
      <c r="AD27" s="10"/>
      <c r="AE27" s="11" t="n">
        <f aca="false">(COUNTIF(C27:AD27,"H")*1)+(COUNTIF(C27:AD27,"H1")*0.5)+(COUNTIF(C27:AD27,"H2")*0.5)+(COUNTIF(C27:AD27,"Q")*0.25)+(COUNTIF(C27:AD27,"I")*1)+(COUNTIF(C27:AD27,"S")*0)+(COUNTIF(C27:AD27,"M")*1)+(COUNTIF(C27:AD27,"C")*0)+(COUNTIF(C27:AD27,"V")*1)+(COUNTIF(C27:AD27,"A")*1)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10"/>
      <c r="D28" s="9"/>
      <c r="E28" s="9"/>
      <c r="F28" s="9"/>
      <c r="G28" s="9"/>
      <c r="H28" s="9"/>
      <c r="I28" s="10"/>
      <c r="J28" s="10"/>
      <c r="K28" s="9"/>
      <c r="L28" s="9"/>
      <c r="M28" s="9"/>
      <c r="N28" s="9"/>
      <c r="O28" s="9"/>
      <c r="P28" s="10"/>
      <c r="Q28" s="10"/>
      <c r="R28" s="9"/>
      <c r="S28" s="9"/>
      <c r="T28" s="9"/>
      <c r="U28" s="9"/>
      <c r="V28" s="9"/>
      <c r="W28" s="10"/>
      <c r="X28" s="10"/>
      <c r="Y28" s="9"/>
      <c r="Z28" s="9"/>
      <c r="AA28" s="9"/>
      <c r="AB28" s="9"/>
      <c r="AC28" s="9"/>
      <c r="AD28" s="10"/>
      <c r="AE28" s="11" t="n">
        <f aca="false">(COUNTIF(C28:AD28,"H")*1)+(COUNTIF(C28:AD28,"H1")*0.5)+(COUNTIF(C28:AD28,"H2")*0.5)+(COUNTIF(C28:AD28,"Q")*0.25)+(COUNTIF(C28:AD28,"I")*1)+(COUNTIF(C28:AD28,"S")*0)+(COUNTIF(C28:AD28,"M")*1)+(COUNTIF(C28:AD28,"C")*0)+(COUNTIF(C28:AD28,"V")*1)+(COUNTIF(C28:AD28,"A")*1)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10"/>
      <c r="D29" s="9"/>
      <c r="E29" s="9"/>
      <c r="F29" s="9"/>
      <c r="G29" s="9"/>
      <c r="H29" s="9"/>
      <c r="I29" s="10"/>
      <c r="J29" s="10"/>
      <c r="K29" s="9"/>
      <c r="L29" s="9"/>
      <c r="M29" s="9"/>
      <c r="N29" s="9"/>
      <c r="O29" s="9"/>
      <c r="P29" s="10"/>
      <c r="Q29" s="10"/>
      <c r="R29" s="9"/>
      <c r="S29" s="9"/>
      <c r="T29" s="9"/>
      <c r="U29" s="9"/>
      <c r="V29" s="9"/>
      <c r="W29" s="10"/>
      <c r="X29" s="10"/>
      <c r="Y29" s="9"/>
      <c r="Z29" s="9"/>
      <c r="AA29" s="9"/>
      <c r="AB29" s="9"/>
      <c r="AC29" s="9"/>
      <c r="AD29" s="10"/>
      <c r="AE29" s="11" t="n">
        <f aca="false">(COUNTIF(C29:AD29,"H")*1)+(COUNTIF(C29:AD29,"H1")*0.5)+(COUNTIF(C29:AD29,"H2")*0.5)+(COUNTIF(C29:AD29,"Q")*0.25)+(COUNTIF(C29:AD29,"I")*1)+(COUNTIF(C29:AD29,"S")*0)+(COUNTIF(C29:AD29,"M")*1)+(COUNTIF(C29:AD29,"C")*0)+(COUNTIF(C29:AD29,"V")*1)+(COUNTIF(C29:AD29,"A")*1)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10"/>
      <c r="D30" s="9"/>
      <c r="E30" s="9"/>
      <c r="F30" s="9"/>
      <c r="G30" s="9"/>
      <c r="H30" s="9"/>
      <c r="I30" s="10"/>
      <c r="J30" s="10"/>
      <c r="K30" s="9"/>
      <c r="L30" s="9"/>
      <c r="M30" s="9"/>
      <c r="N30" s="9"/>
      <c r="O30" s="9"/>
      <c r="P30" s="10"/>
      <c r="Q30" s="10"/>
      <c r="R30" s="9"/>
      <c r="S30" s="9"/>
      <c r="T30" s="9"/>
      <c r="U30" s="9"/>
      <c r="V30" s="9"/>
      <c r="W30" s="10"/>
      <c r="X30" s="10"/>
      <c r="Y30" s="9"/>
      <c r="Z30" s="9"/>
      <c r="AA30" s="9"/>
      <c r="AB30" s="9"/>
      <c r="AC30" s="9"/>
      <c r="AD30" s="10"/>
      <c r="AE30" s="11" t="n">
        <f aca="false">(COUNTIF(C30:AD30,"H")*1)+(COUNTIF(C30:AD30,"H1")*0.5)+(COUNTIF(C30:AD30,"H2")*0.5)+(COUNTIF(C30:AD30,"Q")*0.25)+(COUNTIF(C30:AD30,"I")*1)+(COUNTIF(C30:AD30,"S")*0)+(COUNTIF(C30:AD30,"M")*1)+(COUNTIF(C30:AD30,"C")*0)+(COUNTIF(C30:AD30,"V")*1)+(COUNTIF(C30:AD30,"A")*1)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10"/>
      <c r="D31" s="9"/>
      <c r="E31" s="9"/>
      <c r="F31" s="9"/>
      <c r="G31" s="9"/>
      <c r="H31" s="9"/>
      <c r="I31" s="10"/>
      <c r="J31" s="10"/>
      <c r="K31" s="9"/>
      <c r="L31" s="9"/>
      <c r="M31" s="9"/>
      <c r="N31" s="9"/>
      <c r="O31" s="9"/>
      <c r="P31" s="10"/>
      <c r="Q31" s="10"/>
      <c r="R31" s="9"/>
      <c r="S31" s="9"/>
      <c r="T31" s="9"/>
      <c r="U31" s="9"/>
      <c r="V31" s="9"/>
      <c r="W31" s="10"/>
      <c r="X31" s="10"/>
      <c r="Y31" s="9"/>
      <c r="Z31" s="9"/>
      <c r="AA31" s="9"/>
      <c r="AB31" s="9"/>
      <c r="AC31" s="9"/>
      <c r="AD31" s="10"/>
      <c r="AE31" s="11" t="n">
        <f aca="false">(COUNTIF(C31:AD31,"H")*1)+(COUNTIF(C31:AD31,"H1")*0.5)+(COUNTIF(C31:AD31,"H2")*0.5)+(COUNTIF(C31:AD31,"Q")*0.25)+(COUNTIF(C31:AD31,"I")*1)+(COUNTIF(C31:AD31,"S")*0)+(COUNTIF(C31:AD31,"M")*1)+(COUNTIF(C31:AD31,"C")*0)+(COUNTIF(C31:AD31,"V")*1)+(COUNTIF(C31:AD31,"A")*1)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10"/>
      <c r="D32" s="9"/>
      <c r="E32" s="9"/>
      <c r="F32" s="9"/>
      <c r="G32" s="9"/>
      <c r="H32" s="9"/>
      <c r="I32" s="10"/>
      <c r="J32" s="10"/>
      <c r="K32" s="9"/>
      <c r="L32" s="9"/>
      <c r="M32" s="9"/>
      <c r="N32" s="9"/>
      <c r="O32" s="9"/>
      <c r="P32" s="10"/>
      <c r="Q32" s="10"/>
      <c r="R32" s="9"/>
      <c r="S32" s="9"/>
      <c r="T32" s="9"/>
      <c r="U32" s="9"/>
      <c r="V32" s="9"/>
      <c r="W32" s="10"/>
      <c r="X32" s="10"/>
      <c r="Y32" s="9"/>
      <c r="Z32" s="9"/>
      <c r="AA32" s="9"/>
      <c r="AB32" s="9"/>
      <c r="AC32" s="9"/>
      <c r="AD32" s="10"/>
      <c r="AE32" s="11" t="n">
        <f aca="false">(COUNTIF(C32:AD32,"H")*1)+(COUNTIF(C32:AD32,"H1")*0.5)+(COUNTIF(C32:AD32,"H2")*0.5)+(COUNTIF(C32:AD32,"Q")*0.25)+(COUNTIF(C32:AD32,"I")*1)+(COUNTIF(C32:AD32,"S")*0)+(COUNTIF(C32:AD32,"M")*1)+(COUNTIF(C32:AD32,"C")*0)+(COUNTIF(C32:AD32,"V")*1)+(COUNTIF(C32:AD32,"A")*1)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10"/>
      <c r="D33" s="9"/>
      <c r="E33" s="9"/>
      <c r="F33" s="9"/>
      <c r="G33" s="9"/>
      <c r="H33" s="9"/>
      <c r="I33" s="10"/>
      <c r="J33" s="10"/>
      <c r="K33" s="9"/>
      <c r="L33" s="9"/>
      <c r="M33" s="9"/>
      <c r="N33" s="9"/>
      <c r="O33" s="9"/>
      <c r="P33" s="10"/>
      <c r="Q33" s="10"/>
      <c r="R33" s="9"/>
      <c r="S33" s="9"/>
      <c r="T33" s="9"/>
      <c r="U33" s="9"/>
      <c r="V33" s="9"/>
      <c r="W33" s="10"/>
      <c r="X33" s="10"/>
      <c r="Y33" s="9"/>
      <c r="Z33" s="9"/>
      <c r="AA33" s="9"/>
      <c r="AB33" s="9"/>
      <c r="AC33" s="9"/>
      <c r="AD33" s="10"/>
      <c r="AE33" s="11" t="n">
        <f aca="false">(COUNTIF(C33:AD33,"H")*1)+(COUNTIF(C33:AD33,"H1")*0.5)+(COUNTIF(C33:AD33,"H2")*0.5)+(COUNTIF(C33:AD33,"Q")*0.25)+(COUNTIF(C33:AD33,"I")*1)+(COUNTIF(C33:AD33,"S")*0)+(COUNTIF(C33:AD33,"M")*1)+(COUNTIF(C33:AD33,"C")*0)+(COUNTIF(C33:AD33,"V")*1)+(COUNTIF(C33:AD33,"A")*1)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10"/>
      <c r="D34" s="9"/>
      <c r="E34" s="9"/>
      <c r="F34" s="9"/>
      <c r="G34" s="9"/>
      <c r="H34" s="9"/>
      <c r="I34" s="10"/>
      <c r="J34" s="10"/>
      <c r="K34" s="9"/>
      <c r="L34" s="9"/>
      <c r="M34" s="9"/>
      <c r="N34" s="9"/>
      <c r="O34" s="9"/>
      <c r="P34" s="10"/>
      <c r="Q34" s="10"/>
      <c r="R34" s="9"/>
      <c r="S34" s="9"/>
      <c r="T34" s="9"/>
      <c r="U34" s="9"/>
      <c r="V34" s="9"/>
      <c r="W34" s="10"/>
      <c r="X34" s="10"/>
      <c r="Y34" s="9"/>
      <c r="Z34" s="9"/>
      <c r="AA34" s="9"/>
      <c r="AB34" s="9"/>
      <c r="AC34" s="9"/>
      <c r="AD34" s="10"/>
      <c r="AE34" s="11" t="n">
        <f aca="false">(COUNTIF(C34:AD34,"H")*1)+(COUNTIF(C34:AD34,"H1")*0.5)+(COUNTIF(C34:AD34,"H2")*0.5)+(COUNTIF(C34:AD34,"Q")*0.25)+(COUNTIF(C34:AD34,"I")*1)+(COUNTIF(C34:AD34,"S")*0)+(COUNTIF(C34:AD34,"M")*1)+(COUNTIF(C34:AD34,"C")*0)+(COUNTIF(C34:AD34,"V")*1)+(COUNTIF(C34:AD34,"A")*1)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10"/>
      <c r="D35" s="9"/>
      <c r="E35" s="9"/>
      <c r="F35" s="9"/>
      <c r="G35" s="9"/>
      <c r="H35" s="9"/>
      <c r="I35" s="10"/>
      <c r="J35" s="10"/>
      <c r="K35" s="9"/>
      <c r="L35" s="9"/>
      <c r="M35" s="9"/>
      <c r="N35" s="9"/>
      <c r="O35" s="9"/>
      <c r="P35" s="10"/>
      <c r="Q35" s="10"/>
      <c r="R35" s="9"/>
      <c r="S35" s="9"/>
      <c r="T35" s="9"/>
      <c r="U35" s="9"/>
      <c r="V35" s="9"/>
      <c r="W35" s="10"/>
      <c r="X35" s="10"/>
      <c r="Y35" s="9"/>
      <c r="Z35" s="9"/>
      <c r="AA35" s="9"/>
      <c r="AB35" s="9"/>
      <c r="AC35" s="9"/>
      <c r="AD35" s="10"/>
      <c r="AE35" s="11" t="n">
        <f aca="false">(COUNTIF(C35:AD35,"H")*1)+(COUNTIF(C35:AD35,"H1")*0.5)+(COUNTIF(C35:AD35,"H2")*0.5)+(COUNTIF(C35:AD35,"Q")*0.25)+(COUNTIF(C35:AD35,"I")*1)+(COUNTIF(C35:AD35,"S")*0)+(COUNTIF(C35:AD35,"M")*1)+(COUNTIF(C35:AD35,"C")*0)+(COUNTIF(C35:AD35,"V")*1)+(COUNTIF(C35:AD35,"A")*1)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10"/>
      <c r="D36" s="9"/>
      <c r="E36" s="9"/>
      <c r="F36" s="9"/>
      <c r="G36" s="9"/>
      <c r="H36" s="9"/>
      <c r="I36" s="10"/>
      <c r="J36" s="10"/>
      <c r="K36" s="9"/>
      <c r="L36" s="9"/>
      <c r="M36" s="9"/>
      <c r="N36" s="9"/>
      <c r="O36" s="9"/>
      <c r="P36" s="10"/>
      <c r="Q36" s="10"/>
      <c r="R36" s="9"/>
      <c r="S36" s="9"/>
      <c r="T36" s="9"/>
      <c r="U36" s="9"/>
      <c r="V36" s="9"/>
      <c r="W36" s="10"/>
      <c r="X36" s="10"/>
      <c r="Y36" s="9"/>
      <c r="Z36" s="9"/>
      <c r="AA36" s="9"/>
      <c r="AB36" s="9"/>
      <c r="AC36" s="9"/>
      <c r="AD36" s="10"/>
      <c r="AE36" s="11" t="n">
        <f aca="false">(COUNTIF(C36:AD36,"H")*1)+(COUNTIF(C36:AD36,"H1")*0.5)+(COUNTIF(C36:AD36,"H2")*0.5)+(COUNTIF(C36:AD36,"Q")*0.25)+(COUNTIF(C36:AD36,"I")*1)+(COUNTIF(C36:AD36,"S")*0)+(COUNTIF(C36:AD36,"M")*1)+(COUNTIF(C36:AD36,"C")*0)+(COUNTIF(C36:AD36,"V")*1)+(COUNTIF(C36:AD36,"A")*1)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10"/>
      <c r="D37" s="9"/>
      <c r="E37" s="9"/>
      <c r="F37" s="9"/>
      <c r="G37" s="9"/>
      <c r="H37" s="9"/>
      <c r="I37" s="10"/>
      <c r="J37" s="10"/>
      <c r="K37" s="9"/>
      <c r="L37" s="9"/>
      <c r="M37" s="9"/>
      <c r="N37" s="9"/>
      <c r="O37" s="9"/>
      <c r="P37" s="10"/>
      <c r="Q37" s="10"/>
      <c r="R37" s="9"/>
      <c r="S37" s="9"/>
      <c r="T37" s="9"/>
      <c r="U37" s="9"/>
      <c r="V37" s="9"/>
      <c r="W37" s="10"/>
      <c r="X37" s="10"/>
      <c r="Y37" s="9"/>
      <c r="Z37" s="9"/>
      <c r="AA37" s="9"/>
      <c r="AB37" s="9"/>
      <c r="AC37" s="9"/>
      <c r="AD37" s="10"/>
      <c r="AE37" s="11" t="n">
        <f aca="false">(COUNTIF(C37:AD37,"H")*1)+(COUNTIF(C37:AD37,"H1")*0.5)+(COUNTIF(C37:AD37,"H2")*0.5)+(COUNTIF(C37:AD37,"Q")*0.25)+(COUNTIF(C37:AD37,"I")*1)+(COUNTIF(C37:AD37,"S")*0)+(COUNTIF(C37:AD37,"M")*1)+(COUNTIF(C37:AD37,"C")*0)+(COUNTIF(C37:AD37,"V")*1)+(COUNTIF(C37:AD37,"A")*1)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10"/>
      <c r="D38" s="9"/>
      <c r="E38" s="9"/>
      <c r="F38" s="9"/>
      <c r="G38" s="9"/>
      <c r="H38" s="9"/>
      <c r="I38" s="10"/>
      <c r="J38" s="10"/>
      <c r="K38" s="9"/>
      <c r="L38" s="9"/>
      <c r="M38" s="9"/>
      <c r="N38" s="9"/>
      <c r="O38" s="9"/>
      <c r="P38" s="10"/>
      <c r="Q38" s="10"/>
      <c r="R38" s="9"/>
      <c r="S38" s="9"/>
      <c r="T38" s="9"/>
      <c r="U38" s="9"/>
      <c r="V38" s="9"/>
      <c r="W38" s="10"/>
      <c r="X38" s="10"/>
      <c r="Y38" s="9"/>
      <c r="Z38" s="9"/>
      <c r="AA38" s="9"/>
      <c r="AB38" s="9"/>
      <c r="AC38" s="9"/>
      <c r="AD38" s="10"/>
      <c r="AE38" s="11" t="n">
        <f aca="false">(COUNTIF(C38:AD38,"H")*1)+(COUNTIF(C38:AD38,"H1")*0.5)+(COUNTIF(C38:AD38,"H2")*0.5)+(COUNTIF(C38:AD38,"Q")*0.25)+(COUNTIF(C38:AD38,"I")*1)+(COUNTIF(C38:AD38,"S")*0)+(COUNTIF(C38:AD38,"M")*1)+(COUNTIF(C38:AD38,"C")*0)+(COUNTIF(C38:AD38,"V")*1)+(COUNTIF(C38:AD38,"A")*1)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10"/>
      <c r="D39" s="9"/>
      <c r="E39" s="9"/>
      <c r="F39" s="9"/>
      <c r="G39" s="9"/>
      <c r="H39" s="9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1" t="n">
        <f aca="false">(COUNTIF(C39:AD39,"H")*1)+(COUNTIF(C39:AD39,"H1")*0.5)+(COUNTIF(C39:AD39,"H2")*0.5)+(COUNTIF(C39:AD39,"Q")*0.25)+(COUNTIF(C39:AD39,"I")*1)+(COUNTIF(C39:AD39,"S")*0)+(COUNTIF(C39:AD39,"M")*1)+(COUNTIF(C39:AD39,"C")*0)+(COUNTIF(C39:AD39,"V")*1)+(COUNTIF(C39:AD39,"A")*1)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10"/>
      <c r="D40" s="9"/>
      <c r="E40" s="9"/>
      <c r="F40" s="9"/>
      <c r="G40" s="9"/>
      <c r="H40" s="9"/>
      <c r="I40" s="10"/>
      <c r="J40" s="10"/>
      <c r="K40" s="9"/>
      <c r="L40" s="9"/>
      <c r="M40" s="9"/>
      <c r="N40" s="9"/>
      <c r="O40" s="9"/>
      <c r="P40" s="10"/>
      <c r="Q40" s="10"/>
      <c r="R40" s="9"/>
      <c r="S40" s="9"/>
      <c r="T40" s="9"/>
      <c r="U40" s="9"/>
      <c r="V40" s="9"/>
      <c r="W40" s="10"/>
      <c r="X40" s="10"/>
      <c r="Y40" s="9"/>
      <c r="Z40" s="9"/>
      <c r="AA40" s="9"/>
      <c r="AB40" s="9"/>
      <c r="AC40" s="9"/>
      <c r="AD40" s="10"/>
      <c r="AE40" s="11" t="n">
        <f aca="false">(COUNTIF(C40:AD40,"H")*1)+(COUNTIF(C40:AD40,"H1")*0.5)+(COUNTIF(C40:AD40,"H2")*0.5)+(COUNTIF(C40:AD40,"Q")*0.25)+(COUNTIF(C40:AD40,"I")*1)+(COUNTIF(C40:AD40,"S")*0)+(COUNTIF(C40:AD40,"M")*1)+(COUNTIF(C40:AD40,"C")*0)+(COUNTIF(C40:AD40,"V")*1)+(COUNTIF(C40:AD40,"A")*1)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10"/>
      <c r="D41" s="9"/>
      <c r="E41" s="9"/>
      <c r="F41" s="9"/>
      <c r="G41" s="9"/>
      <c r="H41" s="9"/>
      <c r="I41" s="10"/>
      <c r="J41" s="10"/>
      <c r="K41" s="9"/>
      <c r="L41" s="9"/>
      <c r="M41" s="9"/>
      <c r="N41" s="9"/>
      <c r="O41" s="9"/>
      <c r="P41" s="10"/>
      <c r="Q41" s="10"/>
      <c r="R41" s="9"/>
      <c r="S41" s="9"/>
      <c r="T41" s="9"/>
      <c r="U41" s="9"/>
      <c r="V41" s="9"/>
      <c r="W41" s="10"/>
      <c r="X41" s="10"/>
      <c r="Y41" s="9"/>
      <c r="Z41" s="9"/>
      <c r="AA41" s="9"/>
      <c r="AB41" s="9"/>
      <c r="AC41" s="9"/>
      <c r="AD41" s="10"/>
      <c r="AE41" s="11" t="n">
        <f aca="false">(COUNTIF(C41:AD41,"H")*1)+(COUNTIF(C41:AD41,"H1")*0.5)+(COUNTIF(C41:AD41,"H2")*0.5)+(COUNTIF(C41:AD41,"Q")*0.25)+(COUNTIF(C41:AD41,"I")*1)+(COUNTIF(C41:AD41,"S")*0)+(COUNTIF(C41:AD41,"M")*1)+(COUNTIF(C41:AD41,"C")*0)+(COUNTIF(C41:AD41,"V")*1)+(COUNTIF(C41:AD41,"A")*1)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10"/>
      <c r="D42" s="9"/>
      <c r="E42" s="9"/>
      <c r="F42" s="9"/>
      <c r="G42" s="9"/>
      <c r="H42" s="9"/>
      <c r="I42" s="10"/>
      <c r="J42" s="10"/>
      <c r="K42" s="9"/>
      <c r="L42" s="9"/>
      <c r="M42" s="9"/>
      <c r="N42" s="9"/>
      <c r="O42" s="9"/>
      <c r="P42" s="10"/>
      <c r="Q42" s="10"/>
      <c r="R42" s="9"/>
      <c r="S42" s="9"/>
      <c r="T42" s="9"/>
      <c r="U42" s="9"/>
      <c r="V42" s="9"/>
      <c r="W42" s="10"/>
      <c r="X42" s="10"/>
      <c r="Y42" s="9"/>
      <c r="Z42" s="9"/>
      <c r="AA42" s="9"/>
      <c r="AB42" s="9"/>
      <c r="AC42" s="9"/>
      <c r="AD42" s="10"/>
      <c r="AE42" s="11" t="n">
        <f aca="false">(COUNTIF(C42:AD42,"H")*1)+(COUNTIF(C42:AD42,"H1")*0.5)+(COUNTIF(C42:AD42,"H2")*0.5)+(COUNTIF(C42:AD42,"Q")*0.25)+(COUNTIF(C42:AD42,"I")*1)+(COUNTIF(C42:AD42,"S")*0)+(COUNTIF(C42:AD42,"M")*1)+(COUNTIF(C42:AD42,"C")*0)+(COUNTIF(C42:AD42,"V")*1)+(COUNTIF(C42:AD42,"A")*1)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10"/>
      <c r="D43" s="9"/>
      <c r="E43" s="9"/>
      <c r="F43" s="9"/>
      <c r="G43" s="9"/>
      <c r="H43" s="9"/>
      <c r="I43" s="10"/>
      <c r="J43" s="10"/>
      <c r="K43" s="9"/>
      <c r="L43" s="9"/>
      <c r="M43" s="9"/>
      <c r="N43" s="9"/>
      <c r="O43" s="9"/>
      <c r="P43" s="10"/>
      <c r="Q43" s="10"/>
      <c r="R43" s="9"/>
      <c r="S43" s="9"/>
      <c r="T43" s="9"/>
      <c r="U43" s="9"/>
      <c r="V43" s="9"/>
      <c r="W43" s="10"/>
      <c r="X43" s="10"/>
      <c r="Y43" s="9"/>
      <c r="Z43" s="9"/>
      <c r="AA43" s="9"/>
      <c r="AB43" s="9"/>
      <c r="AC43" s="9"/>
      <c r="AD43" s="10"/>
      <c r="AE43" s="11" t="n">
        <f aca="false">(COUNTIF(C43:AD43,"H")*1)+(COUNTIF(C43:AD43,"H1")*0.5)+(COUNTIF(C43:AD43,"H2")*0.5)+(COUNTIF(C43:AD43,"Q")*0.25)+(COUNTIF(C43:AD43,"I")*1)+(COUNTIF(C43:AD43,"S")*0)+(COUNTIF(C43:AD43,"M")*1)+(COUNTIF(C43:AD43,"C")*0)+(COUNTIF(C43:AD43,"V")*1)+(COUNTIF(C43:AD43,"A")*1)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10"/>
      <c r="D44" s="9"/>
      <c r="E44" s="9"/>
      <c r="F44" s="9"/>
      <c r="G44" s="9"/>
      <c r="H44" s="9"/>
      <c r="I44" s="10"/>
      <c r="J44" s="10"/>
      <c r="K44" s="9"/>
      <c r="L44" s="9"/>
      <c r="M44" s="9"/>
      <c r="N44" s="9"/>
      <c r="O44" s="9"/>
      <c r="P44" s="10"/>
      <c r="Q44" s="10"/>
      <c r="R44" s="9"/>
      <c r="S44" s="9"/>
      <c r="T44" s="9"/>
      <c r="U44" s="9"/>
      <c r="V44" s="9"/>
      <c r="W44" s="10"/>
      <c r="X44" s="10"/>
      <c r="Y44" s="9"/>
      <c r="Z44" s="9"/>
      <c r="AA44" s="9"/>
      <c r="AB44" s="9"/>
      <c r="AC44" s="9"/>
      <c r="AD44" s="10"/>
      <c r="AE44" s="11" t="n">
        <f aca="false">(COUNTIF(C44:AD44,"H")*1)+(COUNTIF(C44:AD44,"H1")*0.5)+(COUNTIF(C44:AD44,"H2")*0.5)+(COUNTIF(C44:AD44,"Q")*0.25)+(COUNTIF(C44:AD44,"I")*1)+(COUNTIF(C44:AD44,"S")*0)+(COUNTIF(C44:AD44,"M")*1)+(COUNTIF(C44:AD44,"C")*0)+(COUNTIF(C44:AD44,"V")*1)+(COUNTIF(C44:AD44,"A")*1)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10"/>
      <c r="D45" s="9"/>
      <c r="E45" s="9"/>
      <c r="F45" s="9"/>
      <c r="G45" s="9"/>
      <c r="H45" s="9"/>
      <c r="I45" s="10"/>
      <c r="J45" s="10"/>
      <c r="K45" s="9"/>
      <c r="L45" s="9"/>
      <c r="M45" s="9"/>
      <c r="N45" s="9"/>
      <c r="O45" s="9"/>
      <c r="P45" s="10"/>
      <c r="Q45" s="10"/>
      <c r="R45" s="9"/>
      <c r="S45" s="9"/>
      <c r="T45" s="9"/>
      <c r="U45" s="9"/>
      <c r="V45" s="9"/>
      <c r="W45" s="10"/>
      <c r="X45" s="10"/>
      <c r="Y45" s="9"/>
      <c r="Z45" s="9"/>
      <c r="AA45" s="9"/>
      <c r="AB45" s="9"/>
      <c r="AC45" s="9"/>
      <c r="AD45" s="10"/>
      <c r="AE45" s="11" t="n">
        <f aca="false">(COUNTIF(C45:AD45,"H")*1)+(COUNTIF(C45:AD45,"H1")*0.5)+(COUNTIF(C45:AD45,"H2")*0.5)+(COUNTIF(C45:AD45,"Q")*0.25)+(COUNTIF(C45:AD45,"I")*1)+(COUNTIF(C45:AD45,"S")*0)+(COUNTIF(C45:AD45,"M")*1)+(COUNTIF(C45:AD45,"C")*0)+(COUNTIF(C45:AD45,"V")*1)+(COUNTIF(C45:AD45,"A")*1)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10"/>
      <c r="D46" s="9"/>
      <c r="E46" s="9"/>
      <c r="F46" s="9"/>
      <c r="G46" s="9"/>
      <c r="H46" s="9"/>
      <c r="I46" s="10"/>
      <c r="J46" s="10"/>
      <c r="K46" s="9"/>
      <c r="L46" s="9"/>
      <c r="M46" s="9"/>
      <c r="N46" s="9"/>
      <c r="O46" s="9"/>
      <c r="P46" s="10"/>
      <c r="Q46" s="10"/>
      <c r="R46" s="9"/>
      <c r="S46" s="9"/>
      <c r="T46" s="9"/>
      <c r="U46" s="9"/>
      <c r="V46" s="9"/>
      <c r="W46" s="10"/>
      <c r="X46" s="10"/>
      <c r="Y46" s="9"/>
      <c r="Z46" s="9"/>
      <c r="AA46" s="9"/>
      <c r="AB46" s="9"/>
      <c r="AC46" s="9"/>
      <c r="AD46" s="10"/>
      <c r="AE46" s="11" t="n">
        <f aca="false">(COUNTIF(C46:AD46,"H")*1)+(COUNTIF(C46:AD46,"H1")*0.5)+(COUNTIF(C46:AD46,"H2")*0.5)+(COUNTIF(C46:AD46,"Q")*0.25)+(COUNTIF(C46:AD46,"I")*1)+(COUNTIF(C46:AD46,"S")*0)+(COUNTIF(C46:AD46,"M")*1)+(COUNTIF(C46:AD46,"C")*0)+(COUNTIF(C46:AD46,"V")*1)+(COUNTIF(C46:AD46,"A")*1)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10"/>
      <c r="D47" s="9"/>
      <c r="E47" s="9"/>
      <c r="F47" s="9"/>
      <c r="G47" s="9"/>
      <c r="H47" s="9"/>
      <c r="I47" s="10"/>
      <c r="J47" s="10"/>
      <c r="K47" s="9"/>
      <c r="L47" s="9"/>
      <c r="M47" s="9"/>
      <c r="N47" s="9"/>
      <c r="O47" s="9"/>
      <c r="P47" s="10"/>
      <c r="Q47" s="10"/>
      <c r="R47" s="9"/>
      <c r="S47" s="9"/>
      <c r="T47" s="9"/>
      <c r="U47" s="9"/>
      <c r="V47" s="9"/>
      <c r="W47" s="10"/>
      <c r="X47" s="10"/>
      <c r="Y47" s="9"/>
      <c r="Z47" s="9"/>
      <c r="AA47" s="9"/>
      <c r="AB47" s="9"/>
      <c r="AC47" s="9"/>
      <c r="AD47" s="10"/>
      <c r="AE47" s="11" t="n">
        <f aca="false">(COUNTIF(C47:AD47,"H")*1)+(COUNTIF(C47:AD47,"H1")*0.5)+(COUNTIF(C47:AD47,"H2")*0.5)+(COUNTIF(C47:AD47,"Q")*0.25)+(COUNTIF(C47:AD47,"I")*1)+(COUNTIF(C47:AD47,"S")*0)+(COUNTIF(C47:AD47,"M")*1)+(COUNTIF(C47:AD47,"C")*0)+(COUNTIF(C47:AD47,"V")*1)+(COUNTIF(C47:AD47,"A")*1)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10"/>
      <c r="D48" s="9"/>
      <c r="E48" s="9"/>
      <c r="F48" s="9"/>
      <c r="G48" s="9"/>
      <c r="H48" s="9"/>
      <c r="I48" s="10"/>
      <c r="J48" s="10"/>
      <c r="K48" s="9"/>
      <c r="L48" s="9"/>
      <c r="M48" s="9"/>
      <c r="N48" s="9"/>
      <c r="O48" s="9"/>
      <c r="P48" s="10"/>
      <c r="Q48" s="10"/>
      <c r="R48" s="9"/>
      <c r="S48" s="9"/>
      <c r="T48" s="9"/>
      <c r="U48" s="9"/>
      <c r="V48" s="9"/>
      <c r="W48" s="10"/>
      <c r="X48" s="10"/>
      <c r="Y48" s="9"/>
      <c r="Z48" s="9"/>
      <c r="AA48" s="9"/>
      <c r="AB48" s="9"/>
      <c r="AC48" s="9"/>
      <c r="AD48" s="10"/>
      <c r="AE48" s="11" t="n">
        <f aca="false">(COUNTIF(C48:AD48,"H")*1)+(COUNTIF(C48:AD48,"H1")*0.5)+(COUNTIF(C48:AD48,"H2")*0.5)+(COUNTIF(C48:AD48,"Q")*0.25)+(COUNTIF(C48:AD48,"I")*1)+(COUNTIF(C48:AD48,"S")*0)+(COUNTIF(C48:AD48,"M")*1)+(COUNTIF(C48:AD48,"C")*0)+(COUNTIF(C48:AD48,"V")*1)+(COUNTIF(C48:AD48,"A")*1)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10"/>
      <c r="D49" s="9"/>
      <c r="E49" s="9"/>
      <c r="F49" s="9"/>
      <c r="G49" s="9"/>
      <c r="H49" s="9"/>
      <c r="I49" s="10"/>
      <c r="J49" s="10"/>
      <c r="K49" s="9"/>
      <c r="L49" s="9"/>
      <c r="M49" s="9"/>
      <c r="N49" s="9"/>
      <c r="O49" s="9"/>
      <c r="P49" s="10"/>
      <c r="Q49" s="10"/>
      <c r="R49" s="9"/>
      <c r="S49" s="9"/>
      <c r="T49" s="9"/>
      <c r="U49" s="9"/>
      <c r="V49" s="9"/>
      <c r="W49" s="10"/>
      <c r="X49" s="10"/>
      <c r="Y49" s="9"/>
      <c r="Z49" s="9"/>
      <c r="AA49" s="9"/>
      <c r="AB49" s="9"/>
      <c r="AC49" s="9"/>
      <c r="AD49" s="10"/>
      <c r="AE49" s="11" t="n">
        <f aca="false">(COUNTIF(C49:AD49,"H")*1)+(COUNTIF(C49:AD49,"H1")*0.5)+(COUNTIF(C49:AD49,"H2")*0.5)+(COUNTIF(C49:AD49,"Q")*0.25)+(COUNTIF(C49:AD49,"I")*1)+(COUNTIF(C49:AD49,"S")*0)+(COUNTIF(C49:AD49,"M")*1)+(COUNTIF(C49:AD49,"C")*0)+(COUNTIF(C49:AD49,"V")*1)+(COUNTIF(C49:AD49,"A")*1)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10"/>
      <c r="D50" s="9"/>
      <c r="E50" s="9"/>
      <c r="F50" s="9"/>
      <c r="G50" s="9"/>
      <c r="H50" s="9"/>
      <c r="I50" s="10"/>
      <c r="J50" s="10"/>
      <c r="K50" s="9"/>
      <c r="L50" s="9"/>
      <c r="M50" s="9"/>
      <c r="N50" s="9"/>
      <c r="O50" s="9"/>
      <c r="P50" s="10"/>
      <c r="Q50" s="10"/>
      <c r="R50" s="9"/>
      <c r="S50" s="9"/>
      <c r="T50" s="9"/>
      <c r="U50" s="9"/>
      <c r="V50" s="9"/>
      <c r="W50" s="10"/>
      <c r="X50" s="10"/>
      <c r="Y50" s="9"/>
      <c r="Z50" s="9"/>
      <c r="AA50" s="9"/>
      <c r="AB50" s="9"/>
      <c r="AC50" s="9"/>
      <c r="AD50" s="10"/>
      <c r="AE50" s="11" t="n">
        <f aca="false">(COUNTIF(C50:AD50,"H")*1)+(COUNTIF(C50:AD50,"H1")*0.5)+(COUNTIF(C50:AD50,"H2")*0.5)+(COUNTIF(C50:AD50,"Q")*0.25)+(COUNTIF(C50:AD50,"I")*1)+(COUNTIF(C50:AD50,"S")*0)+(COUNTIF(C50:AD50,"M")*1)+(COUNTIF(C50:AD50,"C")*0)+(COUNTIF(C50:AD50,"V")*1)+(COUNTIF(C50:AD50,"A")*1)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10"/>
      <c r="D51" s="9"/>
      <c r="E51" s="9"/>
      <c r="F51" s="9"/>
      <c r="G51" s="9"/>
      <c r="H51" s="9"/>
      <c r="I51" s="10"/>
      <c r="J51" s="10"/>
      <c r="K51" s="9"/>
      <c r="L51" s="9"/>
      <c r="M51" s="9"/>
      <c r="N51" s="9"/>
      <c r="O51" s="9"/>
      <c r="P51" s="10"/>
      <c r="Q51" s="10"/>
      <c r="R51" s="9"/>
      <c r="S51" s="9"/>
      <c r="T51" s="9"/>
      <c r="U51" s="9"/>
      <c r="V51" s="9"/>
      <c r="W51" s="10"/>
      <c r="X51" s="10"/>
      <c r="Y51" s="9"/>
      <c r="Z51" s="9"/>
      <c r="AA51" s="9"/>
      <c r="AB51" s="9"/>
      <c r="AC51" s="9"/>
      <c r="AD51" s="10"/>
      <c r="AE51" s="11" t="n">
        <f aca="false">(COUNTIF(C51:AD51,"H")*1)+(COUNTIF(C51:AD51,"H1")*0.5)+(COUNTIF(C51:AD51,"H2")*0.5)+(COUNTIF(C51:AD51,"Q")*0.25)+(COUNTIF(C51:AD51,"I")*1)+(COUNTIF(C51:AD51,"S")*0)+(COUNTIF(C51:AD51,"M")*1)+(COUNTIF(C51:AD51,"C")*0)+(COUNTIF(C51:AD51,"V")*1)+(COUNTIF(C51:AD51,"A")*1)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10"/>
      <c r="D52" s="9"/>
      <c r="E52" s="9"/>
      <c r="F52" s="9"/>
      <c r="G52" s="9"/>
      <c r="H52" s="9"/>
      <c r="I52" s="10"/>
      <c r="J52" s="10"/>
      <c r="K52" s="9"/>
      <c r="L52" s="9"/>
      <c r="M52" s="9"/>
      <c r="N52" s="9"/>
      <c r="O52" s="9"/>
      <c r="P52" s="10"/>
      <c r="Q52" s="10"/>
      <c r="R52" s="9"/>
      <c r="S52" s="9"/>
      <c r="T52" s="9"/>
      <c r="U52" s="9"/>
      <c r="V52" s="9"/>
      <c r="W52" s="10"/>
      <c r="X52" s="10"/>
      <c r="Y52" s="9"/>
      <c r="Z52" s="9"/>
      <c r="AA52" s="9"/>
      <c r="AB52" s="9"/>
      <c r="AC52" s="9"/>
      <c r="AD52" s="10"/>
      <c r="AE52" s="11" t="n">
        <f aca="false">(COUNTIF(C52:AD52,"H")*1)+(COUNTIF(C52:AD52,"H1")*0.5)+(COUNTIF(C52:AD52,"H2")*0.5)+(COUNTIF(C52:AD52,"Q")*0.25)+(COUNTIF(C52:AD52,"I")*1)+(COUNTIF(C52:AD52,"S")*0)+(COUNTIF(C52:AD52,"M")*1)+(COUNTIF(C52:AD52,"C")*0)+(COUNTIF(C52:AD52,"V")*1)+(COUNTIF(C52:AD52,"A")*1)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10"/>
      <c r="D53" s="9"/>
      <c r="E53" s="9"/>
      <c r="F53" s="9"/>
      <c r="G53" s="9"/>
      <c r="H53" s="9"/>
      <c r="I53" s="10"/>
      <c r="J53" s="10"/>
      <c r="K53" s="9"/>
      <c r="L53" s="9"/>
      <c r="M53" s="9"/>
      <c r="N53" s="9"/>
      <c r="O53" s="9"/>
      <c r="P53" s="10"/>
      <c r="Q53" s="10"/>
      <c r="R53" s="9"/>
      <c r="S53" s="9"/>
      <c r="T53" s="9"/>
      <c r="U53" s="9"/>
      <c r="V53" s="9"/>
      <c r="W53" s="10"/>
      <c r="X53" s="10"/>
      <c r="Y53" s="9"/>
      <c r="Z53" s="9"/>
      <c r="AA53" s="9"/>
      <c r="AB53" s="9"/>
      <c r="AC53" s="9"/>
      <c r="AD53" s="10"/>
      <c r="AE53" s="11" t="n">
        <f aca="false">(COUNTIF(C53:AD53,"H")*1)+(COUNTIF(C53:AD53,"H1")*0.5)+(COUNTIF(C53:AD53,"H2")*0.5)+(COUNTIF(C53:AD53,"Q")*0.25)+(COUNTIF(C53:AD53,"I")*1)+(COUNTIF(C53:AD53,"S")*0)+(COUNTIF(C53:AD53,"M")*1)+(COUNTIF(C53:AD53,"C")*0)+(COUNTIF(C53:AD53,"V")*1)+(COUNTIF(C53:AD53,"A")*1)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10"/>
      <c r="D54" s="9"/>
      <c r="E54" s="9"/>
      <c r="F54" s="9"/>
      <c r="G54" s="9"/>
      <c r="H54" s="9"/>
      <c r="I54" s="10"/>
      <c r="J54" s="10"/>
      <c r="K54" s="9"/>
      <c r="L54" s="9"/>
      <c r="M54" s="9"/>
      <c r="N54" s="9"/>
      <c r="O54" s="9"/>
      <c r="P54" s="10"/>
      <c r="Q54" s="10"/>
      <c r="R54" s="9"/>
      <c r="S54" s="9"/>
      <c r="T54" s="9"/>
      <c r="U54" s="9"/>
      <c r="V54" s="9"/>
      <c r="W54" s="10"/>
      <c r="X54" s="10"/>
      <c r="Y54" s="9"/>
      <c r="Z54" s="9"/>
      <c r="AA54" s="9"/>
      <c r="AB54" s="9"/>
      <c r="AC54" s="9"/>
      <c r="AD54" s="10"/>
      <c r="AE54" s="11" t="n">
        <f aca="false">(COUNTIF(C54:AD54,"H")*1)+(COUNTIF(C54:AD54,"H1")*0.5)+(COUNTIF(C54:AD54,"H2")*0.5)+(COUNTIF(C54:AD54,"Q")*0.25)+(COUNTIF(C54:AD54,"I")*1)+(COUNTIF(C54:AD54,"S")*0)+(COUNTIF(C54:AD54,"M")*1)+(COUNTIF(C54:AD54,"C")*0)+(COUNTIF(C54:AD54,"V")*1)+(COUNTIF(C54:AD54,"A")*1)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10"/>
      <c r="D55" s="9"/>
      <c r="E55" s="9"/>
      <c r="F55" s="9"/>
      <c r="G55" s="9"/>
      <c r="H55" s="9"/>
      <c r="I55" s="10"/>
      <c r="J55" s="10"/>
      <c r="K55" s="9"/>
      <c r="L55" s="9"/>
      <c r="M55" s="9"/>
      <c r="N55" s="9"/>
      <c r="O55" s="9"/>
      <c r="P55" s="10"/>
      <c r="Q55" s="10"/>
      <c r="R55" s="9"/>
      <c r="S55" s="9"/>
      <c r="T55" s="9"/>
      <c r="U55" s="9"/>
      <c r="V55" s="9"/>
      <c r="W55" s="10"/>
      <c r="X55" s="10"/>
      <c r="Y55" s="9"/>
      <c r="Z55" s="9"/>
      <c r="AA55" s="9"/>
      <c r="AB55" s="9"/>
      <c r="AC55" s="9"/>
      <c r="AD55" s="10"/>
      <c r="AE55" s="11" t="n">
        <f aca="false">(COUNTIF(C55:AD55,"H")*1)+(COUNTIF(C55:AD55,"H1")*0.5)+(COUNTIF(C55:AD55,"H2")*0.5)+(COUNTIF(C55:AD55,"Q")*0.25)+(COUNTIF(C55:AD55,"I")*1)+(COUNTIF(C55:AD55,"S")*0)+(COUNTIF(C55:AD55,"M")*1)+(COUNTIF(C55:AD55,"C")*0)+(COUNTIF(C55:AD55,"V")*1)+(COUNTIF(C55:AD55,"A")*1)</f>
        <v>0</v>
      </c>
    </row>
    <row r="57" customFormat="false" ht="15.75" hidden="false" customHeight="false" outlineLevel="0" collapsed="false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customFormat="false" ht="17.25" hidden="false" customHeight="false" outlineLevel="0" collapsed="false"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</row>
  </sheetData>
  <mergeCells count="11">
    <mergeCell ref="C1:AD1"/>
    <mergeCell ref="D2:J2"/>
    <mergeCell ref="K2:Q2"/>
    <mergeCell ref="R2:X2"/>
    <mergeCell ref="Y2:AD2"/>
    <mergeCell ref="AE3:AE5"/>
    <mergeCell ref="AG3:AG5"/>
    <mergeCell ref="AH3:AH5"/>
    <mergeCell ref="AI3:AI5"/>
    <mergeCell ref="B57:AD57"/>
    <mergeCell ref="B58:AD58"/>
  </mergeCells>
  <conditionalFormatting sqref="C6:AD55">
    <cfRule type="expression" priority="2" aboveAverage="0" equalAverage="0" bottom="0" percent="0" rank="0" text="" dxfId="10">
      <formula>NOT(ISERROR(SEARCH("H1", C6)))</formula>
    </cfRule>
    <cfRule type="expression" priority="3" aboveAverage="0" equalAverage="0" bottom="0" percent="0" rank="0" text="" dxfId="11">
      <formula>NOT(ISERROR(SEARCH("H2", C6)))</formula>
    </cfRule>
    <cfRule type="expression" priority="4" aboveAverage="0" equalAverage="0" bottom="0" percent="0" rank="0" text="" dxfId="12">
      <formula>NOT(ISERROR(SEARCH("H", C6)))</formula>
    </cfRule>
    <cfRule type="expression" priority="5" aboveAverage="0" equalAverage="0" bottom="0" percent="0" rank="0" text="" dxfId="13">
      <formula>NOT(ISERROR(SEARCH("Q", C6)))</formula>
    </cfRule>
    <cfRule type="expression" priority="6" aboveAverage="0" equalAverage="0" bottom="0" percent="0" rank="0" text="" dxfId="14">
      <formula>NOT(ISERROR(SEARCH("I", C6)))</formula>
    </cfRule>
    <cfRule type="expression" priority="7" aboveAverage="0" equalAverage="0" bottom="0" percent="0" rank="0" text="" dxfId="15">
      <formula>NOT(ISERROR(SEARCH("S", C6)))</formula>
    </cfRule>
    <cfRule type="expression" priority="8" aboveAverage="0" equalAverage="0" bottom="0" percent="0" rank="0" text="" dxfId="16">
      <formula>NOT(ISERROR(SEARCH("M", C6)))</formula>
    </cfRule>
    <cfRule type="expression" priority="9" aboveAverage="0" equalAverage="0" bottom="0" percent="0" rank="0" text="" dxfId="17">
      <formula>NOT(ISERROR(SEARCH("C", C6)))</formula>
    </cfRule>
    <cfRule type="expression" priority="10" aboveAverage="0" equalAverage="0" bottom="0" percent="0" rank="0" text="" dxfId="18">
      <formula>NOT(ISERROR(SEARCH("V", C6)))</formula>
    </cfRule>
    <cfRule type="expression" priority="11" aboveAverage="0" equalAverage="0" bottom="0" percent="0" rank="0" text="" dxfId="19">
      <formula>NOT(ISERROR(SEARCH("A", 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U8" activeCellId="0" sqref="U8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.75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23" t="s">
        <v>59</v>
      </c>
      <c r="D2" s="1" t="s">
        <v>60</v>
      </c>
      <c r="E2" s="1"/>
      <c r="F2" s="1"/>
      <c r="G2" s="1"/>
      <c r="H2" s="1"/>
      <c r="I2" s="1"/>
      <c r="J2" s="1"/>
      <c r="K2" s="1" t="s">
        <v>61</v>
      </c>
      <c r="L2" s="1"/>
      <c r="M2" s="1"/>
      <c r="N2" s="1"/>
      <c r="O2" s="1"/>
      <c r="P2" s="1"/>
      <c r="Q2" s="1"/>
      <c r="R2" s="1" t="s">
        <v>62</v>
      </c>
      <c r="S2" s="1"/>
      <c r="T2" s="1"/>
      <c r="U2" s="1"/>
      <c r="V2" s="1"/>
      <c r="W2" s="1"/>
      <c r="X2" s="1"/>
      <c r="Y2" s="1" t="s">
        <v>63</v>
      </c>
      <c r="Z2" s="1"/>
      <c r="AA2" s="1"/>
      <c r="AB2" s="1"/>
      <c r="AC2" s="1"/>
      <c r="AD2" s="1"/>
      <c r="AE2" s="1"/>
      <c r="AF2" s="1" t="s">
        <v>64</v>
      </c>
      <c r="AG2" s="1"/>
    </row>
    <row r="3" customFormat="false" ht="12" hidden="false" customHeight="true" outlineLevel="0" collapsed="false">
      <c r="B3" s="2"/>
      <c r="C3" s="3" t="s">
        <v>65</v>
      </c>
      <c r="D3" s="3" t="s">
        <v>65</v>
      </c>
      <c r="E3" s="3" t="s">
        <v>65</v>
      </c>
      <c r="F3" s="3" t="s">
        <v>65</v>
      </c>
      <c r="G3" s="3" t="s">
        <v>65</v>
      </c>
      <c r="H3" s="3" t="s">
        <v>65</v>
      </c>
      <c r="I3" s="3" t="s">
        <v>65</v>
      </c>
      <c r="J3" s="3" t="s">
        <v>65</v>
      </c>
      <c r="K3" s="3" t="s">
        <v>65</v>
      </c>
      <c r="L3" s="3" t="s">
        <v>65</v>
      </c>
      <c r="M3" s="3" t="s">
        <v>65</v>
      </c>
      <c r="N3" s="3" t="s">
        <v>65</v>
      </c>
      <c r="O3" s="3" t="s">
        <v>65</v>
      </c>
      <c r="P3" s="3" t="s">
        <v>65</v>
      </c>
      <c r="Q3" s="3" t="s">
        <v>65</v>
      </c>
      <c r="R3" s="3" t="s">
        <v>65</v>
      </c>
      <c r="S3" s="3" t="s">
        <v>65</v>
      </c>
      <c r="T3" s="3" t="s">
        <v>65</v>
      </c>
      <c r="U3" s="3" t="s">
        <v>65</v>
      </c>
      <c r="V3" s="3" t="s">
        <v>65</v>
      </c>
      <c r="W3" s="3" t="s">
        <v>65</v>
      </c>
      <c r="X3" s="3" t="s">
        <v>65</v>
      </c>
      <c r="Y3" s="3" t="s">
        <v>65</v>
      </c>
      <c r="Z3" s="3" t="s">
        <v>65</v>
      </c>
      <c r="AA3" s="3" t="s">
        <v>65</v>
      </c>
      <c r="AB3" s="3" t="s">
        <v>65</v>
      </c>
      <c r="AC3" s="3" t="s">
        <v>65</v>
      </c>
      <c r="AD3" s="3" t="s">
        <v>65</v>
      </c>
      <c r="AE3" s="3" t="s">
        <v>65</v>
      </c>
      <c r="AF3" s="3" t="s">
        <v>65</v>
      </c>
      <c r="AG3" s="3" t="s">
        <v>65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14</v>
      </c>
      <c r="D5" s="6" t="s">
        <v>15</v>
      </c>
      <c r="E5" s="6" t="s">
        <v>16</v>
      </c>
      <c r="F5" s="6" t="s">
        <v>17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11</v>
      </c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11</v>
      </c>
      <c r="AC5" s="6" t="s">
        <v>12</v>
      </c>
      <c r="AD5" s="6" t="s">
        <v>13</v>
      </c>
      <c r="AE5" s="6" t="s">
        <v>14</v>
      </c>
      <c r="AF5" s="6" t="s">
        <v>15</v>
      </c>
      <c r="AG5" s="6" t="s">
        <v>16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10"/>
      <c r="D6" s="9"/>
      <c r="E6" s="9"/>
      <c r="F6" s="9"/>
      <c r="G6" s="9"/>
      <c r="H6" s="9" t="s">
        <v>20</v>
      </c>
      <c r="I6" s="10"/>
      <c r="J6" s="10"/>
      <c r="K6" s="9"/>
      <c r="L6" s="9"/>
      <c r="M6" s="9"/>
      <c r="N6" s="9"/>
      <c r="O6" s="9"/>
      <c r="P6" s="10"/>
      <c r="Q6" s="10"/>
      <c r="R6" s="9"/>
      <c r="S6" s="9"/>
      <c r="T6" s="9"/>
      <c r="U6" s="9"/>
      <c r="V6" s="9" t="s">
        <v>20</v>
      </c>
      <c r="W6" s="10"/>
      <c r="X6" s="10"/>
      <c r="Y6" s="9" t="s">
        <v>20</v>
      </c>
      <c r="Z6" s="9"/>
      <c r="AA6" s="9"/>
      <c r="AB6" s="9"/>
      <c r="AC6" s="9"/>
      <c r="AD6" s="10"/>
      <c r="AE6" s="10"/>
      <c r="AF6" s="9"/>
      <c r="AG6" s="9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3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10"/>
      <c r="D7" s="9"/>
      <c r="E7" s="9" t="s">
        <v>19</v>
      </c>
      <c r="F7" s="9"/>
      <c r="G7" s="9"/>
      <c r="H7" s="9" t="s">
        <v>20</v>
      </c>
      <c r="I7" s="10"/>
      <c r="J7" s="10"/>
      <c r="K7" s="9"/>
      <c r="L7" s="9"/>
      <c r="M7" s="9"/>
      <c r="N7" s="9"/>
      <c r="O7" s="9"/>
      <c r="P7" s="10"/>
      <c r="Q7" s="10"/>
      <c r="R7" s="9" t="s">
        <v>39</v>
      </c>
      <c r="S7" s="9" t="s">
        <v>66</v>
      </c>
      <c r="T7" s="9" t="s">
        <v>39</v>
      </c>
      <c r="U7" s="9"/>
      <c r="V7" s="9" t="s">
        <v>20</v>
      </c>
      <c r="W7" s="10"/>
      <c r="X7" s="10"/>
      <c r="Y7" s="9" t="s">
        <v>20</v>
      </c>
      <c r="Z7" s="9"/>
      <c r="AA7" s="9"/>
      <c r="AB7" s="9"/>
      <c r="AC7" s="9"/>
      <c r="AD7" s="10"/>
      <c r="AE7" s="10"/>
      <c r="AF7" s="9"/>
      <c r="AG7" s="9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6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10"/>
      <c r="D8" s="9"/>
      <c r="E8" s="9"/>
      <c r="F8" s="9"/>
      <c r="G8" s="9"/>
      <c r="H8" s="9" t="s">
        <v>20</v>
      </c>
      <c r="I8" s="10"/>
      <c r="J8" s="10"/>
      <c r="K8" s="9" t="s">
        <v>30</v>
      </c>
      <c r="L8" s="9" t="s">
        <v>30</v>
      </c>
      <c r="M8" s="9" t="s">
        <v>30</v>
      </c>
      <c r="N8" s="9" t="s">
        <v>30</v>
      </c>
      <c r="O8" s="9" t="s">
        <v>30</v>
      </c>
      <c r="P8" s="10"/>
      <c r="Q8" s="10"/>
      <c r="R8" s="9" t="s">
        <v>30</v>
      </c>
      <c r="S8" s="9" t="s">
        <v>30</v>
      </c>
      <c r="T8" s="9" t="s">
        <v>30</v>
      </c>
      <c r="U8" s="9"/>
      <c r="V8" s="9" t="s">
        <v>20</v>
      </c>
      <c r="W8" s="10"/>
      <c r="X8" s="10"/>
      <c r="Y8" s="9" t="s">
        <v>20</v>
      </c>
      <c r="Z8" s="9"/>
      <c r="AA8" s="9"/>
      <c r="AB8" s="9"/>
      <c r="AC8" s="9"/>
      <c r="AD8" s="10"/>
      <c r="AE8" s="10"/>
      <c r="AF8" s="9"/>
      <c r="AG8" s="9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3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10"/>
      <c r="D9" s="9"/>
      <c r="E9" s="9"/>
      <c r="F9" s="9"/>
      <c r="G9" s="9"/>
      <c r="H9" s="9" t="s">
        <v>20</v>
      </c>
      <c r="I9" s="10"/>
      <c r="J9" s="10"/>
      <c r="K9" s="9" t="s">
        <v>19</v>
      </c>
      <c r="L9" s="9"/>
      <c r="M9" s="9"/>
      <c r="N9" s="9"/>
      <c r="O9" s="9"/>
      <c r="P9" s="10"/>
      <c r="Q9" s="10"/>
      <c r="R9" s="9"/>
      <c r="S9" s="9"/>
      <c r="T9" s="9"/>
      <c r="U9" s="9"/>
      <c r="V9" s="9" t="s">
        <v>20</v>
      </c>
      <c r="W9" s="10"/>
      <c r="X9" s="10"/>
      <c r="Y9" s="9" t="s">
        <v>20</v>
      </c>
      <c r="Z9" s="9"/>
      <c r="AA9" s="9"/>
      <c r="AB9" s="9"/>
      <c r="AC9" s="9"/>
      <c r="AD9" s="10"/>
      <c r="AE9" s="10"/>
      <c r="AF9" s="9"/>
      <c r="AG9" s="9" t="s">
        <v>30</v>
      </c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4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10"/>
      <c r="D10" s="9"/>
      <c r="E10" s="9"/>
      <c r="F10" s="9"/>
      <c r="G10" s="9"/>
      <c r="H10" s="9" t="s">
        <v>20</v>
      </c>
      <c r="I10" s="10"/>
      <c r="J10" s="10"/>
      <c r="K10" s="9"/>
      <c r="L10" s="9"/>
      <c r="M10" s="9"/>
      <c r="N10" s="9"/>
      <c r="O10" s="9"/>
      <c r="P10" s="10"/>
      <c r="Q10" s="10"/>
      <c r="R10" s="9"/>
      <c r="S10" s="9"/>
      <c r="T10" s="9"/>
      <c r="U10" s="9"/>
      <c r="V10" s="9" t="s">
        <v>20</v>
      </c>
      <c r="W10" s="10"/>
      <c r="X10" s="10"/>
      <c r="Y10" s="9" t="s">
        <v>20</v>
      </c>
      <c r="Z10" s="9"/>
      <c r="AA10" s="9"/>
      <c r="AB10" s="9"/>
      <c r="AC10" s="9"/>
      <c r="AD10" s="10"/>
      <c r="AE10" s="10"/>
      <c r="AF10" s="9"/>
      <c r="AG10" s="9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3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10"/>
      <c r="D11" s="9"/>
      <c r="E11" s="9"/>
      <c r="F11" s="9"/>
      <c r="G11" s="9"/>
      <c r="H11" s="9" t="s">
        <v>20</v>
      </c>
      <c r="I11" s="10"/>
      <c r="J11" s="10"/>
      <c r="K11" s="9"/>
      <c r="L11" s="9"/>
      <c r="M11" s="9"/>
      <c r="N11" s="9"/>
      <c r="O11" s="9"/>
      <c r="P11" s="10"/>
      <c r="Q11" s="10"/>
      <c r="R11" s="9"/>
      <c r="S11" s="9"/>
      <c r="T11" s="9"/>
      <c r="U11" s="9"/>
      <c r="V11" s="9" t="s">
        <v>20</v>
      </c>
      <c r="W11" s="10"/>
      <c r="X11" s="10"/>
      <c r="Y11" s="9" t="s">
        <v>20</v>
      </c>
      <c r="Z11" s="9"/>
      <c r="AA11" s="9"/>
      <c r="AB11" s="9"/>
      <c r="AC11" s="9"/>
      <c r="AD11" s="10"/>
      <c r="AE11" s="10"/>
      <c r="AF11" s="9"/>
      <c r="AG11" s="9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3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10"/>
      <c r="D12" s="9"/>
      <c r="E12" s="9"/>
      <c r="F12" s="9"/>
      <c r="G12" s="9"/>
      <c r="H12" s="9" t="s">
        <v>20</v>
      </c>
      <c r="I12" s="10"/>
      <c r="J12" s="10"/>
      <c r="K12" s="9"/>
      <c r="L12" s="9"/>
      <c r="M12" s="9"/>
      <c r="N12" s="9"/>
      <c r="O12" s="9"/>
      <c r="P12" s="10"/>
      <c r="Q12" s="10"/>
      <c r="R12" s="9" t="s">
        <v>19</v>
      </c>
      <c r="S12" s="9"/>
      <c r="T12" s="9"/>
      <c r="U12" s="9"/>
      <c r="V12" s="9" t="s">
        <v>20</v>
      </c>
      <c r="W12" s="10"/>
      <c r="X12" s="10"/>
      <c r="Y12" s="9" t="s">
        <v>20</v>
      </c>
      <c r="Z12" s="9"/>
      <c r="AA12" s="9"/>
      <c r="AB12" s="9" t="s">
        <v>19</v>
      </c>
      <c r="AC12" s="9" t="s">
        <v>19</v>
      </c>
      <c r="AD12" s="10"/>
      <c r="AE12" s="10"/>
      <c r="AF12" s="9" t="s">
        <v>19</v>
      </c>
      <c r="AG12" s="9" t="s">
        <v>19</v>
      </c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8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10"/>
      <c r="D13" s="9"/>
      <c r="E13" s="9"/>
      <c r="F13" s="9"/>
      <c r="G13" s="9"/>
      <c r="H13" s="9" t="s">
        <v>20</v>
      </c>
      <c r="I13" s="10"/>
      <c r="J13" s="10"/>
      <c r="K13" s="9" t="s">
        <v>30</v>
      </c>
      <c r="L13" s="9" t="s">
        <v>30</v>
      </c>
      <c r="M13" s="9" t="s">
        <v>30</v>
      </c>
      <c r="N13" s="9" t="s">
        <v>30</v>
      </c>
      <c r="O13" s="9"/>
      <c r="P13" s="10"/>
      <c r="Q13" s="10"/>
      <c r="R13" s="9"/>
      <c r="S13" s="9"/>
      <c r="T13" s="9"/>
      <c r="U13" s="9"/>
      <c r="V13" s="9" t="s">
        <v>20</v>
      </c>
      <c r="W13" s="10"/>
      <c r="X13" s="10"/>
      <c r="Y13" s="9" t="s">
        <v>20</v>
      </c>
      <c r="Z13" s="9"/>
      <c r="AA13" s="9"/>
      <c r="AB13" s="9" t="s">
        <v>28</v>
      </c>
      <c r="AC13" s="9"/>
      <c r="AD13" s="10"/>
      <c r="AE13" s="10"/>
      <c r="AF13" s="9"/>
      <c r="AG13" s="9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3.5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10"/>
      <c r="D14" s="9"/>
      <c r="E14" s="9"/>
      <c r="F14" s="9"/>
      <c r="G14" s="9"/>
      <c r="H14" s="9" t="s">
        <v>20</v>
      </c>
      <c r="I14" s="10"/>
      <c r="J14" s="10"/>
      <c r="K14" s="9" t="s">
        <v>19</v>
      </c>
      <c r="L14" s="9"/>
      <c r="M14" s="9"/>
      <c r="N14" s="9"/>
      <c r="O14" s="9"/>
      <c r="P14" s="10"/>
      <c r="Q14" s="10"/>
      <c r="R14" s="9"/>
      <c r="S14" s="9"/>
      <c r="T14" s="9"/>
      <c r="U14" s="9"/>
      <c r="V14" s="9" t="s">
        <v>20</v>
      </c>
      <c r="W14" s="10"/>
      <c r="X14" s="10"/>
      <c r="Y14" s="9" t="s">
        <v>20</v>
      </c>
      <c r="Z14" s="9"/>
      <c r="AA14" s="9"/>
      <c r="AB14" s="9"/>
      <c r="AC14" s="9"/>
      <c r="AD14" s="10"/>
      <c r="AE14" s="10"/>
      <c r="AF14" s="9"/>
      <c r="AG14" s="9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4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10"/>
      <c r="D15" s="9"/>
      <c r="E15" s="9"/>
      <c r="F15" s="9"/>
      <c r="G15" s="9"/>
      <c r="H15" s="9" t="s">
        <v>20</v>
      </c>
      <c r="I15" s="10"/>
      <c r="J15" s="10"/>
      <c r="K15" s="9"/>
      <c r="L15" s="9"/>
      <c r="M15" s="9"/>
      <c r="N15" s="9"/>
      <c r="O15" s="9"/>
      <c r="P15" s="10"/>
      <c r="Q15" s="10"/>
      <c r="R15" s="9"/>
      <c r="S15" s="9"/>
      <c r="T15" s="9"/>
      <c r="U15" s="9"/>
      <c r="V15" s="9" t="s">
        <v>20</v>
      </c>
      <c r="W15" s="10"/>
      <c r="X15" s="10"/>
      <c r="Y15" s="9" t="s">
        <v>20</v>
      </c>
      <c r="Z15" s="9"/>
      <c r="AA15" s="9"/>
      <c r="AB15" s="9"/>
      <c r="AC15" s="9"/>
      <c r="AD15" s="10"/>
      <c r="AE15" s="10"/>
      <c r="AF15" s="9"/>
      <c r="AG15" s="9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3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10"/>
      <c r="D16" s="9"/>
      <c r="E16" s="9"/>
      <c r="F16" s="9"/>
      <c r="G16" s="9"/>
      <c r="H16" s="9" t="s">
        <v>20</v>
      </c>
      <c r="I16" s="10"/>
      <c r="J16" s="10"/>
      <c r="K16" s="9"/>
      <c r="L16" s="9"/>
      <c r="M16" s="9"/>
      <c r="N16" s="9"/>
      <c r="O16" s="9"/>
      <c r="P16" s="10"/>
      <c r="Q16" s="10"/>
      <c r="R16" s="9"/>
      <c r="S16" s="9"/>
      <c r="T16" s="9"/>
      <c r="U16" s="9"/>
      <c r="V16" s="9" t="s">
        <v>20</v>
      </c>
      <c r="W16" s="10"/>
      <c r="X16" s="10"/>
      <c r="Y16" s="9" t="s">
        <v>20</v>
      </c>
      <c r="Z16" s="9"/>
      <c r="AA16" s="9"/>
      <c r="AB16" s="9"/>
      <c r="AC16" s="9"/>
      <c r="AD16" s="10"/>
      <c r="AE16" s="10"/>
      <c r="AF16" s="9"/>
      <c r="AG16" s="9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3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10"/>
      <c r="D17" s="9"/>
      <c r="E17" s="9"/>
      <c r="F17" s="9"/>
      <c r="G17" s="9"/>
      <c r="H17" s="9" t="s">
        <v>20</v>
      </c>
      <c r="I17" s="10"/>
      <c r="J17" s="10"/>
      <c r="K17" s="9"/>
      <c r="L17" s="9"/>
      <c r="M17" s="9"/>
      <c r="N17" s="9"/>
      <c r="O17" s="9"/>
      <c r="P17" s="10"/>
      <c r="Q17" s="10"/>
      <c r="R17" s="9"/>
      <c r="S17" s="9"/>
      <c r="T17" s="9"/>
      <c r="U17" s="9"/>
      <c r="V17" s="9" t="s">
        <v>20</v>
      </c>
      <c r="W17" s="10"/>
      <c r="X17" s="10"/>
      <c r="Y17" s="9" t="s">
        <v>20</v>
      </c>
      <c r="Z17" s="9"/>
      <c r="AA17" s="9"/>
      <c r="AB17" s="9"/>
      <c r="AC17" s="9"/>
      <c r="AD17" s="10"/>
      <c r="AE17" s="10"/>
      <c r="AF17" s="9"/>
      <c r="AG17" s="9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3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10"/>
      <c r="D18" s="9"/>
      <c r="E18" s="9"/>
      <c r="F18" s="9"/>
      <c r="G18" s="9"/>
      <c r="H18" s="9" t="s">
        <v>20</v>
      </c>
      <c r="I18" s="10"/>
      <c r="J18" s="10"/>
      <c r="K18" s="9"/>
      <c r="L18" s="9"/>
      <c r="M18" s="9"/>
      <c r="N18" s="9"/>
      <c r="O18" s="9"/>
      <c r="P18" s="10"/>
      <c r="Q18" s="10"/>
      <c r="R18" s="9"/>
      <c r="S18" s="9"/>
      <c r="T18" s="9"/>
      <c r="U18" s="9"/>
      <c r="V18" s="9" t="s">
        <v>20</v>
      </c>
      <c r="W18" s="10"/>
      <c r="X18" s="10"/>
      <c r="Y18" s="9" t="s">
        <v>20</v>
      </c>
      <c r="Z18" s="9"/>
      <c r="AA18" s="9"/>
      <c r="AB18" s="9"/>
      <c r="AC18" s="9"/>
      <c r="AD18" s="10"/>
      <c r="AE18" s="10"/>
      <c r="AF18" s="9"/>
      <c r="AG18" s="9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3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10"/>
      <c r="D19" s="9"/>
      <c r="E19" s="9"/>
      <c r="F19" s="9"/>
      <c r="G19" s="9"/>
      <c r="H19" s="9" t="s">
        <v>20</v>
      </c>
      <c r="I19" s="10"/>
      <c r="J19" s="10"/>
      <c r="K19" s="9" t="s">
        <v>42</v>
      </c>
      <c r="L19" s="9" t="s">
        <v>42</v>
      </c>
      <c r="M19" s="9" t="s">
        <v>42</v>
      </c>
      <c r="N19" s="9" t="s">
        <v>42</v>
      </c>
      <c r="O19" s="9" t="s">
        <v>42</v>
      </c>
      <c r="P19" s="10"/>
      <c r="Q19" s="10"/>
      <c r="R19" s="9"/>
      <c r="S19" s="9"/>
      <c r="T19" s="9"/>
      <c r="U19" s="9"/>
      <c r="V19" s="9" t="s">
        <v>20</v>
      </c>
      <c r="W19" s="10"/>
      <c r="X19" s="10"/>
      <c r="Y19" s="9" t="s">
        <v>20</v>
      </c>
      <c r="Z19" s="9"/>
      <c r="AA19" s="9"/>
      <c r="AB19" s="9"/>
      <c r="AC19" s="9"/>
      <c r="AD19" s="10"/>
      <c r="AE19" s="10"/>
      <c r="AF19" s="9"/>
      <c r="AG19" s="9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3</v>
      </c>
    </row>
    <row r="20" customFormat="false" ht="19.5" hidden="false" customHeight="true" outlineLevel="0" collapsed="false">
      <c r="B20" s="8" t="n">
        <f aca="false">'January 2026'!B20</f>
        <v>0</v>
      </c>
      <c r="C20" s="10"/>
      <c r="D20" s="9"/>
      <c r="E20" s="9"/>
      <c r="F20" s="9"/>
      <c r="G20" s="9"/>
      <c r="H20" s="9"/>
      <c r="I20" s="10"/>
      <c r="J20" s="10"/>
      <c r="K20" s="9"/>
      <c r="L20" s="9"/>
      <c r="M20" s="9"/>
      <c r="N20" s="9"/>
      <c r="O20" s="9"/>
      <c r="P20" s="10"/>
      <c r="Q20" s="10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10"/>
      <c r="AE20" s="10"/>
      <c r="AF20" s="9"/>
      <c r="AG20" s="9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0</v>
      </c>
    </row>
    <row r="21" customFormat="false" ht="19.5" hidden="false" customHeight="true" outlineLevel="0" collapsed="false">
      <c r="B21" s="8" t="n">
        <f aca="false">'January 2026'!B21</f>
        <v>0</v>
      </c>
      <c r="C21" s="10"/>
      <c r="D21" s="9"/>
      <c r="E21" s="9"/>
      <c r="F21" s="9"/>
      <c r="G21" s="9"/>
      <c r="H21" s="9"/>
      <c r="I21" s="10"/>
      <c r="J21" s="10"/>
      <c r="K21" s="9"/>
      <c r="L21" s="9"/>
      <c r="M21" s="9"/>
      <c r="N21" s="9"/>
      <c r="O21" s="9"/>
      <c r="P21" s="10"/>
      <c r="Q21" s="10"/>
      <c r="R21" s="9"/>
      <c r="S21" s="9"/>
      <c r="T21" s="9"/>
      <c r="U21" s="9"/>
      <c r="V21" s="9"/>
      <c r="W21" s="10"/>
      <c r="X21" s="10"/>
      <c r="Y21" s="9"/>
      <c r="Z21" s="9"/>
      <c r="AA21" s="9"/>
      <c r="AB21" s="9"/>
      <c r="AC21" s="9"/>
      <c r="AD21" s="10"/>
      <c r="AE21" s="10"/>
      <c r="AF21" s="9"/>
      <c r="AG21" s="9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10"/>
      <c r="D22" s="9"/>
      <c r="E22" s="9"/>
      <c r="F22" s="9"/>
      <c r="G22" s="9"/>
      <c r="H22" s="9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0"/>
      <c r="AF22" s="9"/>
      <c r="AG22" s="9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10"/>
      <c r="D23" s="9"/>
      <c r="E23" s="9"/>
      <c r="F23" s="9"/>
      <c r="G23" s="9"/>
      <c r="H23" s="9"/>
      <c r="I23" s="10"/>
      <c r="J23" s="10"/>
      <c r="K23" s="9"/>
      <c r="L23" s="9"/>
      <c r="M23" s="9"/>
      <c r="N23" s="9"/>
      <c r="O23" s="9"/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0"/>
      <c r="AF23" s="9"/>
      <c r="AG23" s="9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10"/>
      <c r="D24" s="9"/>
      <c r="E24" s="9"/>
      <c r="F24" s="9"/>
      <c r="G24" s="9"/>
      <c r="H24" s="9"/>
      <c r="I24" s="10"/>
      <c r="J24" s="10"/>
      <c r="K24" s="9"/>
      <c r="L24" s="9"/>
      <c r="M24" s="9"/>
      <c r="N24" s="9"/>
      <c r="O24" s="9"/>
      <c r="P24" s="10"/>
      <c r="Q24" s="10"/>
      <c r="R24" s="9"/>
      <c r="S24" s="9"/>
      <c r="T24" s="9"/>
      <c r="U24" s="9"/>
      <c r="V24" s="9"/>
      <c r="W24" s="10"/>
      <c r="X24" s="10"/>
      <c r="Y24" s="9"/>
      <c r="Z24" s="9"/>
      <c r="AA24" s="9"/>
      <c r="AB24" s="9"/>
      <c r="AC24" s="9"/>
      <c r="AD24" s="10"/>
      <c r="AE24" s="10"/>
      <c r="AF24" s="9"/>
      <c r="AG24" s="9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10"/>
      <c r="D25" s="9"/>
      <c r="E25" s="9"/>
      <c r="F25" s="9"/>
      <c r="G25" s="9"/>
      <c r="H25" s="9"/>
      <c r="I25" s="10"/>
      <c r="J25" s="10"/>
      <c r="K25" s="9"/>
      <c r="L25" s="9"/>
      <c r="M25" s="9"/>
      <c r="N25" s="9"/>
      <c r="O25" s="9"/>
      <c r="P25" s="10"/>
      <c r="Q25" s="10"/>
      <c r="R25" s="9"/>
      <c r="S25" s="9"/>
      <c r="T25" s="9"/>
      <c r="U25" s="9"/>
      <c r="V25" s="9"/>
      <c r="W25" s="10"/>
      <c r="X25" s="10"/>
      <c r="Y25" s="9"/>
      <c r="Z25" s="9"/>
      <c r="AA25" s="9"/>
      <c r="AB25" s="9"/>
      <c r="AC25" s="9"/>
      <c r="AD25" s="10"/>
      <c r="AE25" s="10"/>
      <c r="AF25" s="9"/>
      <c r="AG25" s="9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10"/>
      <c r="D26" s="9"/>
      <c r="E26" s="9"/>
      <c r="F26" s="9"/>
      <c r="G26" s="9"/>
      <c r="H26" s="9"/>
      <c r="I26" s="10"/>
      <c r="J26" s="10"/>
      <c r="K26" s="9"/>
      <c r="L26" s="9"/>
      <c r="M26" s="9"/>
      <c r="N26" s="9"/>
      <c r="O26" s="9"/>
      <c r="P26" s="10"/>
      <c r="Q26" s="10"/>
      <c r="R26" s="9"/>
      <c r="S26" s="9"/>
      <c r="T26" s="9"/>
      <c r="U26" s="9"/>
      <c r="V26" s="9"/>
      <c r="W26" s="10"/>
      <c r="X26" s="10"/>
      <c r="Y26" s="9"/>
      <c r="Z26" s="9"/>
      <c r="AA26" s="9"/>
      <c r="AB26" s="9"/>
      <c r="AC26" s="9"/>
      <c r="AD26" s="10"/>
      <c r="AE26" s="10"/>
      <c r="AF26" s="9"/>
      <c r="AG26" s="9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10"/>
      <c r="D27" s="9"/>
      <c r="E27" s="9"/>
      <c r="F27" s="9"/>
      <c r="G27" s="9"/>
      <c r="H27" s="9"/>
      <c r="I27" s="10"/>
      <c r="J27" s="10"/>
      <c r="K27" s="9"/>
      <c r="L27" s="9"/>
      <c r="M27" s="9"/>
      <c r="N27" s="9"/>
      <c r="O27" s="9"/>
      <c r="P27" s="10"/>
      <c r="Q27" s="10"/>
      <c r="R27" s="9"/>
      <c r="S27" s="9"/>
      <c r="T27" s="9"/>
      <c r="U27" s="9"/>
      <c r="V27" s="9"/>
      <c r="W27" s="10"/>
      <c r="X27" s="10"/>
      <c r="Y27" s="9"/>
      <c r="Z27" s="9"/>
      <c r="AA27" s="9"/>
      <c r="AB27" s="9"/>
      <c r="AC27" s="9"/>
      <c r="AD27" s="10"/>
      <c r="AE27" s="10"/>
      <c r="AF27" s="9"/>
      <c r="AG27" s="9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10"/>
      <c r="D28" s="9"/>
      <c r="E28" s="9"/>
      <c r="F28" s="9"/>
      <c r="G28" s="9"/>
      <c r="H28" s="9"/>
      <c r="I28" s="10"/>
      <c r="J28" s="10"/>
      <c r="K28" s="9"/>
      <c r="L28" s="9"/>
      <c r="M28" s="9"/>
      <c r="N28" s="9"/>
      <c r="O28" s="9"/>
      <c r="P28" s="10"/>
      <c r="Q28" s="10"/>
      <c r="R28" s="9"/>
      <c r="S28" s="9"/>
      <c r="T28" s="9"/>
      <c r="U28" s="9"/>
      <c r="V28" s="9"/>
      <c r="W28" s="10"/>
      <c r="X28" s="10"/>
      <c r="Y28" s="9"/>
      <c r="Z28" s="9"/>
      <c r="AA28" s="9"/>
      <c r="AB28" s="9"/>
      <c r="AC28" s="9"/>
      <c r="AD28" s="10"/>
      <c r="AE28" s="10"/>
      <c r="AF28" s="9"/>
      <c r="AG28" s="9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10"/>
      <c r="D29" s="9"/>
      <c r="E29" s="9"/>
      <c r="F29" s="9"/>
      <c r="G29" s="9"/>
      <c r="H29" s="9"/>
      <c r="I29" s="10"/>
      <c r="J29" s="10"/>
      <c r="K29" s="9"/>
      <c r="L29" s="9"/>
      <c r="M29" s="9"/>
      <c r="N29" s="9"/>
      <c r="O29" s="9"/>
      <c r="P29" s="10"/>
      <c r="Q29" s="10"/>
      <c r="R29" s="9"/>
      <c r="S29" s="9"/>
      <c r="T29" s="9"/>
      <c r="U29" s="9"/>
      <c r="V29" s="9"/>
      <c r="W29" s="10"/>
      <c r="X29" s="10"/>
      <c r="Y29" s="9"/>
      <c r="Z29" s="9"/>
      <c r="AA29" s="9"/>
      <c r="AB29" s="9"/>
      <c r="AC29" s="9"/>
      <c r="AD29" s="10"/>
      <c r="AE29" s="10"/>
      <c r="AF29" s="9"/>
      <c r="AG29" s="9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10"/>
      <c r="D30" s="9"/>
      <c r="E30" s="9"/>
      <c r="F30" s="9"/>
      <c r="G30" s="9"/>
      <c r="H30" s="9"/>
      <c r="I30" s="10"/>
      <c r="J30" s="10"/>
      <c r="K30" s="9"/>
      <c r="L30" s="9"/>
      <c r="M30" s="9"/>
      <c r="N30" s="9"/>
      <c r="O30" s="9"/>
      <c r="P30" s="10"/>
      <c r="Q30" s="10"/>
      <c r="R30" s="9"/>
      <c r="S30" s="9"/>
      <c r="T30" s="9"/>
      <c r="U30" s="9"/>
      <c r="V30" s="9"/>
      <c r="W30" s="10"/>
      <c r="X30" s="10"/>
      <c r="Y30" s="9"/>
      <c r="Z30" s="9"/>
      <c r="AA30" s="9"/>
      <c r="AB30" s="9"/>
      <c r="AC30" s="9"/>
      <c r="AD30" s="10"/>
      <c r="AE30" s="10"/>
      <c r="AF30" s="9"/>
      <c r="AG30" s="9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10"/>
      <c r="D31" s="9"/>
      <c r="E31" s="9"/>
      <c r="F31" s="9"/>
      <c r="G31" s="9"/>
      <c r="H31" s="9"/>
      <c r="I31" s="10"/>
      <c r="J31" s="10"/>
      <c r="K31" s="9"/>
      <c r="L31" s="9"/>
      <c r="M31" s="9"/>
      <c r="N31" s="9"/>
      <c r="O31" s="9"/>
      <c r="P31" s="10"/>
      <c r="Q31" s="10"/>
      <c r="R31" s="9"/>
      <c r="S31" s="9"/>
      <c r="T31" s="9"/>
      <c r="U31" s="9"/>
      <c r="V31" s="9"/>
      <c r="W31" s="10"/>
      <c r="X31" s="10"/>
      <c r="Y31" s="9"/>
      <c r="Z31" s="9"/>
      <c r="AA31" s="9"/>
      <c r="AB31" s="9"/>
      <c r="AC31" s="9"/>
      <c r="AD31" s="10"/>
      <c r="AE31" s="10"/>
      <c r="AF31" s="9"/>
      <c r="AG31" s="9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10"/>
      <c r="D32" s="9"/>
      <c r="E32" s="9"/>
      <c r="F32" s="9"/>
      <c r="G32" s="9"/>
      <c r="H32" s="9"/>
      <c r="I32" s="10"/>
      <c r="J32" s="10"/>
      <c r="K32" s="9"/>
      <c r="L32" s="9"/>
      <c r="M32" s="9"/>
      <c r="N32" s="9"/>
      <c r="O32" s="9"/>
      <c r="P32" s="10"/>
      <c r="Q32" s="10"/>
      <c r="R32" s="9"/>
      <c r="S32" s="9"/>
      <c r="T32" s="9"/>
      <c r="U32" s="9"/>
      <c r="V32" s="9"/>
      <c r="W32" s="10"/>
      <c r="X32" s="10"/>
      <c r="Y32" s="9"/>
      <c r="Z32" s="9"/>
      <c r="AA32" s="9"/>
      <c r="AB32" s="9"/>
      <c r="AC32" s="9"/>
      <c r="AD32" s="10"/>
      <c r="AE32" s="10"/>
      <c r="AF32" s="9"/>
      <c r="AG32" s="9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10"/>
      <c r="D33" s="9"/>
      <c r="E33" s="9"/>
      <c r="F33" s="9"/>
      <c r="G33" s="9"/>
      <c r="H33" s="9"/>
      <c r="I33" s="10"/>
      <c r="J33" s="10"/>
      <c r="K33" s="9"/>
      <c r="L33" s="9"/>
      <c r="M33" s="9"/>
      <c r="N33" s="9"/>
      <c r="O33" s="9"/>
      <c r="P33" s="10"/>
      <c r="Q33" s="10"/>
      <c r="R33" s="9"/>
      <c r="S33" s="9"/>
      <c r="T33" s="9"/>
      <c r="U33" s="9"/>
      <c r="V33" s="9"/>
      <c r="W33" s="10"/>
      <c r="X33" s="10"/>
      <c r="Y33" s="9"/>
      <c r="Z33" s="9"/>
      <c r="AA33" s="9"/>
      <c r="AB33" s="9"/>
      <c r="AC33" s="9"/>
      <c r="AD33" s="10"/>
      <c r="AE33" s="10"/>
      <c r="AF33" s="9"/>
      <c r="AG33" s="9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10"/>
      <c r="D34" s="9"/>
      <c r="E34" s="9"/>
      <c r="F34" s="9"/>
      <c r="G34" s="9"/>
      <c r="H34" s="9"/>
      <c r="I34" s="10"/>
      <c r="J34" s="10"/>
      <c r="K34" s="9"/>
      <c r="L34" s="9"/>
      <c r="M34" s="9"/>
      <c r="N34" s="9"/>
      <c r="O34" s="9"/>
      <c r="P34" s="10"/>
      <c r="Q34" s="10"/>
      <c r="R34" s="9"/>
      <c r="S34" s="9"/>
      <c r="T34" s="9"/>
      <c r="U34" s="9"/>
      <c r="V34" s="9"/>
      <c r="W34" s="10"/>
      <c r="X34" s="10"/>
      <c r="Y34" s="9"/>
      <c r="Z34" s="9"/>
      <c r="AA34" s="9"/>
      <c r="AB34" s="9"/>
      <c r="AC34" s="9"/>
      <c r="AD34" s="10"/>
      <c r="AE34" s="10"/>
      <c r="AF34" s="9"/>
      <c r="AG34" s="9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10"/>
      <c r="D35" s="9"/>
      <c r="E35" s="9"/>
      <c r="F35" s="9"/>
      <c r="G35" s="9"/>
      <c r="H35" s="9"/>
      <c r="I35" s="10"/>
      <c r="J35" s="10"/>
      <c r="K35" s="9"/>
      <c r="L35" s="9"/>
      <c r="M35" s="9"/>
      <c r="N35" s="9"/>
      <c r="O35" s="9"/>
      <c r="P35" s="10"/>
      <c r="Q35" s="10"/>
      <c r="R35" s="9"/>
      <c r="S35" s="9"/>
      <c r="T35" s="9"/>
      <c r="U35" s="9"/>
      <c r="V35" s="9"/>
      <c r="W35" s="10"/>
      <c r="X35" s="10"/>
      <c r="Y35" s="9"/>
      <c r="Z35" s="9"/>
      <c r="AA35" s="9"/>
      <c r="AB35" s="9"/>
      <c r="AC35" s="9"/>
      <c r="AD35" s="10"/>
      <c r="AE35" s="10"/>
      <c r="AF35" s="9"/>
      <c r="AG35" s="9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10"/>
      <c r="D36" s="9"/>
      <c r="E36" s="9"/>
      <c r="F36" s="9"/>
      <c r="G36" s="9"/>
      <c r="H36" s="9"/>
      <c r="I36" s="10"/>
      <c r="J36" s="10"/>
      <c r="K36" s="9"/>
      <c r="L36" s="9"/>
      <c r="M36" s="9"/>
      <c r="N36" s="9"/>
      <c r="O36" s="9"/>
      <c r="P36" s="10"/>
      <c r="Q36" s="10"/>
      <c r="R36" s="9"/>
      <c r="S36" s="9"/>
      <c r="T36" s="9"/>
      <c r="U36" s="9"/>
      <c r="V36" s="9"/>
      <c r="W36" s="10"/>
      <c r="X36" s="10"/>
      <c r="Y36" s="9"/>
      <c r="Z36" s="9"/>
      <c r="AA36" s="9"/>
      <c r="AB36" s="9"/>
      <c r="AC36" s="9"/>
      <c r="AD36" s="10"/>
      <c r="AE36" s="10"/>
      <c r="AF36" s="9"/>
      <c r="AG36" s="9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10"/>
      <c r="D37" s="9"/>
      <c r="E37" s="9"/>
      <c r="F37" s="9"/>
      <c r="G37" s="9"/>
      <c r="H37" s="9"/>
      <c r="I37" s="10"/>
      <c r="J37" s="10"/>
      <c r="K37" s="9"/>
      <c r="L37" s="9"/>
      <c r="M37" s="9"/>
      <c r="N37" s="9"/>
      <c r="O37" s="9"/>
      <c r="P37" s="10"/>
      <c r="Q37" s="10"/>
      <c r="R37" s="9"/>
      <c r="S37" s="9"/>
      <c r="T37" s="9"/>
      <c r="U37" s="9"/>
      <c r="V37" s="9"/>
      <c r="W37" s="10"/>
      <c r="X37" s="10"/>
      <c r="Y37" s="9"/>
      <c r="Z37" s="9"/>
      <c r="AA37" s="9"/>
      <c r="AB37" s="9"/>
      <c r="AC37" s="9"/>
      <c r="AD37" s="10"/>
      <c r="AE37" s="10"/>
      <c r="AF37" s="9"/>
      <c r="AG37" s="9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10"/>
      <c r="D38" s="9"/>
      <c r="E38" s="9"/>
      <c r="F38" s="9"/>
      <c r="G38" s="9"/>
      <c r="H38" s="9"/>
      <c r="I38" s="10"/>
      <c r="J38" s="10"/>
      <c r="K38" s="9"/>
      <c r="L38" s="9"/>
      <c r="M38" s="9"/>
      <c r="N38" s="9"/>
      <c r="O38" s="9"/>
      <c r="P38" s="10"/>
      <c r="Q38" s="10"/>
      <c r="R38" s="9"/>
      <c r="S38" s="9"/>
      <c r="T38" s="9"/>
      <c r="U38" s="9"/>
      <c r="V38" s="9"/>
      <c r="W38" s="10"/>
      <c r="X38" s="10"/>
      <c r="Y38" s="9"/>
      <c r="Z38" s="9"/>
      <c r="AA38" s="9"/>
      <c r="AB38" s="9"/>
      <c r="AC38" s="9"/>
      <c r="AD38" s="10"/>
      <c r="AE38" s="10"/>
      <c r="AF38" s="9"/>
      <c r="AG38" s="9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10"/>
      <c r="D39" s="9"/>
      <c r="E39" s="9"/>
      <c r="F39" s="9"/>
      <c r="G39" s="9"/>
      <c r="H39" s="9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0"/>
      <c r="AF39" s="9"/>
      <c r="AG39" s="9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10"/>
      <c r="D40" s="9"/>
      <c r="E40" s="9"/>
      <c r="F40" s="9"/>
      <c r="G40" s="9"/>
      <c r="H40" s="9"/>
      <c r="I40" s="10"/>
      <c r="J40" s="10"/>
      <c r="K40" s="9"/>
      <c r="L40" s="9"/>
      <c r="M40" s="9"/>
      <c r="N40" s="9"/>
      <c r="O40" s="9"/>
      <c r="P40" s="10"/>
      <c r="Q40" s="10"/>
      <c r="R40" s="9"/>
      <c r="S40" s="9"/>
      <c r="T40" s="9"/>
      <c r="U40" s="9"/>
      <c r="V40" s="9"/>
      <c r="W40" s="10"/>
      <c r="X40" s="10"/>
      <c r="Y40" s="9"/>
      <c r="Z40" s="9"/>
      <c r="AA40" s="9"/>
      <c r="AB40" s="9"/>
      <c r="AC40" s="9"/>
      <c r="AD40" s="10"/>
      <c r="AE40" s="10"/>
      <c r="AF40" s="9"/>
      <c r="AG40" s="9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10"/>
      <c r="D41" s="9"/>
      <c r="E41" s="9"/>
      <c r="F41" s="9"/>
      <c r="G41" s="9"/>
      <c r="H41" s="9"/>
      <c r="I41" s="10"/>
      <c r="J41" s="10"/>
      <c r="K41" s="9"/>
      <c r="L41" s="9"/>
      <c r="M41" s="9"/>
      <c r="N41" s="9"/>
      <c r="O41" s="9"/>
      <c r="P41" s="10"/>
      <c r="Q41" s="10"/>
      <c r="R41" s="9"/>
      <c r="S41" s="9"/>
      <c r="T41" s="9"/>
      <c r="U41" s="9"/>
      <c r="V41" s="9"/>
      <c r="W41" s="10"/>
      <c r="X41" s="10"/>
      <c r="Y41" s="9"/>
      <c r="Z41" s="9"/>
      <c r="AA41" s="9"/>
      <c r="AB41" s="9"/>
      <c r="AC41" s="9"/>
      <c r="AD41" s="10"/>
      <c r="AE41" s="10"/>
      <c r="AF41" s="9"/>
      <c r="AG41" s="9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10"/>
      <c r="D42" s="9"/>
      <c r="E42" s="9"/>
      <c r="F42" s="9"/>
      <c r="G42" s="9"/>
      <c r="H42" s="9"/>
      <c r="I42" s="10"/>
      <c r="J42" s="10"/>
      <c r="K42" s="9"/>
      <c r="L42" s="9"/>
      <c r="M42" s="9"/>
      <c r="N42" s="9"/>
      <c r="O42" s="9"/>
      <c r="P42" s="10"/>
      <c r="Q42" s="10"/>
      <c r="R42" s="9"/>
      <c r="S42" s="9"/>
      <c r="T42" s="9"/>
      <c r="U42" s="9"/>
      <c r="V42" s="9"/>
      <c r="W42" s="10"/>
      <c r="X42" s="10"/>
      <c r="Y42" s="9"/>
      <c r="Z42" s="9"/>
      <c r="AA42" s="9"/>
      <c r="AB42" s="9"/>
      <c r="AC42" s="9"/>
      <c r="AD42" s="10"/>
      <c r="AE42" s="10"/>
      <c r="AF42" s="9"/>
      <c r="AG42" s="9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10"/>
      <c r="D43" s="9"/>
      <c r="E43" s="9"/>
      <c r="F43" s="9"/>
      <c r="G43" s="9"/>
      <c r="H43" s="9"/>
      <c r="I43" s="10"/>
      <c r="J43" s="10"/>
      <c r="K43" s="9"/>
      <c r="L43" s="9"/>
      <c r="M43" s="9"/>
      <c r="N43" s="9"/>
      <c r="O43" s="9"/>
      <c r="P43" s="10"/>
      <c r="Q43" s="10"/>
      <c r="R43" s="9"/>
      <c r="S43" s="9"/>
      <c r="T43" s="9"/>
      <c r="U43" s="9"/>
      <c r="V43" s="9"/>
      <c r="W43" s="10"/>
      <c r="X43" s="10"/>
      <c r="Y43" s="9"/>
      <c r="Z43" s="9"/>
      <c r="AA43" s="9"/>
      <c r="AB43" s="9"/>
      <c r="AC43" s="9"/>
      <c r="AD43" s="10"/>
      <c r="AE43" s="10"/>
      <c r="AF43" s="9"/>
      <c r="AG43" s="9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10"/>
      <c r="D44" s="9"/>
      <c r="E44" s="9"/>
      <c r="F44" s="9"/>
      <c r="G44" s="9"/>
      <c r="H44" s="9"/>
      <c r="I44" s="10"/>
      <c r="J44" s="10"/>
      <c r="K44" s="9"/>
      <c r="L44" s="9"/>
      <c r="M44" s="9"/>
      <c r="N44" s="9"/>
      <c r="O44" s="9"/>
      <c r="P44" s="10"/>
      <c r="Q44" s="10"/>
      <c r="R44" s="9"/>
      <c r="S44" s="9"/>
      <c r="T44" s="9"/>
      <c r="U44" s="9"/>
      <c r="V44" s="9"/>
      <c r="W44" s="10"/>
      <c r="X44" s="10"/>
      <c r="Y44" s="9"/>
      <c r="Z44" s="9"/>
      <c r="AA44" s="9"/>
      <c r="AB44" s="9"/>
      <c r="AC44" s="9"/>
      <c r="AD44" s="10"/>
      <c r="AE44" s="10"/>
      <c r="AF44" s="9"/>
      <c r="AG44" s="9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10"/>
      <c r="D45" s="9"/>
      <c r="E45" s="9"/>
      <c r="F45" s="9"/>
      <c r="G45" s="9"/>
      <c r="H45" s="9"/>
      <c r="I45" s="10"/>
      <c r="J45" s="10"/>
      <c r="K45" s="9"/>
      <c r="L45" s="9"/>
      <c r="M45" s="9"/>
      <c r="N45" s="9"/>
      <c r="O45" s="9"/>
      <c r="P45" s="10"/>
      <c r="Q45" s="10"/>
      <c r="R45" s="9"/>
      <c r="S45" s="9"/>
      <c r="T45" s="9"/>
      <c r="U45" s="9"/>
      <c r="V45" s="9"/>
      <c r="W45" s="10"/>
      <c r="X45" s="10"/>
      <c r="Y45" s="9"/>
      <c r="Z45" s="9"/>
      <c r="AA45" s="9"/>
      <c r="AB45" s="9"/>
      <c r="AC45" s="9"/>
      <c r="AD45" s="10"/>
      <c r="AE45" s="10"/>
      <c r="AF45" s="9"/>
      <c r="AG45" s="9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10"/>
      <c r="D46" s="9"/>
      <c r="E46" s="9"/>
      <c r="F46" s="9"/>
      <c r="G46" s="9"/>
      <c r="H46" s="9"/>
      <c r="I46" s="10"/>
      <c r="J46" s="10"/>
      <c r="K46" s="9"/>
      <c r="L46" s="9"/>
      <c r="M46" s="9"/>
      <c r="N46" s="9"/>
      <c r="O46" s="9"/>
      <c r="P46" s="10"/>
      <c r="Q46" s="10"/>
      <c r="R46" s="9"/>
      <c r="S46" s="9"/>
      <c r="T46" s="9"/>
      <c r="U46" s="9"/>
      <c r="V46" s="9"/>
      <c r="W46" s="10"/>
      <c r="X46" s="10"/>
      <c r="Y46" s="9"/>
      <c r="Z46" s="9"/>
      <c r="AA46" s="9"/>
      <c r="AB46" s="9"/>
      <c r="AC46" s="9"/>
      <c r="AD46" s="10"/>
      <c r="AE46" s="10"/>
      <c r="AF46" s="9"/>
      <c r="AG46" s="9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10"/>
      <c r="D47" s="9"/>
      <c r="E47" s="9"/>
      <c r="F47" s="9"/>
      <c r="G47" s="9"/>
      <c r="H47" s="9"/>
      <c r="I47" s="10"/>
      <c r="J47" s="10"/>
      <c r="K47" s="9"/>
      <c r="L47" s="9"/>
      <c r="M47" s="9"/>
      <c r="N47" s="9"/>
      <c r="O47" s="9"/>
      <c r="P47" s="10"/>
      <c r="Q47" s="10"/>
      <c r="R47" s="9"/>
      <c r="S47" s="9"/>
      <c r="T47" s="9"/>
      <c r="U47" s="9"/>
      <c r="V47" s="9"/>
      <c r="W47" s="10"/>
      <c r="X47" s="10"/>
      <c r="Y47" s="9"/>
      <c r="Z47" s="9"/>
      <c r="AA47" s="9"/>
      <c r="AB47" s="9"/>
      <c r="AC47" s="9"/>
      <c r="AD47" s="10"/>
      <c r="AE47" s="10"/>
      <c r="AF47" s="9"/>
      <c r="AG47" s="9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10"/>
      <c r="D48" s="9"/>
      <c r="E48" s="9"/>
      <c r="F48" s="9"/>
      <c r="G48" s="9"/>
      <c r="H48" s="9"/>
      <c r="I48" s="10"/>
      <c r="J48" s="10"/>
      <c r="K48" s="9"/>
      <c r="L48" s="9"/>
      <c r="M48" s="9"/>
      <c r="N48" s="9"/>
      <c r="O48" s="9"/>
      <c r="P48" s="10"/>
      <c r="Q48" s="10"/>
      <c r="R48" s="9"/>
      <c r="S48" s="9"/>
      <c r="T48" s="9"/>
      <c r="U48" s="9"/>
      <c r="V48" s="9"/>
      <c r="W48" s="10"/>
      <c r="X48" s="10"/>
      <c r="Y48" s="9"/>
      <c r="Z48" s="9"/>
      <c r="AA48" s="9"/>
      <c r="AB48" s="9"/>
      <c r="AC48" s="9"/>
      <c r="AD48" s="10"/>
      <c r="AE48" s="10"/>
      <c r="AF48" s="9"/>
      <c r="AG48" s="9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10"/>
      <c r="D49" s="9"/>
      <c r="E49" s="9"/>
      <c r="F49" s="9"/>
      <c r="G49" s="9"/>
      <c r="H49" s="9"/>
      <c r="I49" s="10"/>
      <c r="J49" s="10"/>
      <c r="K49" s="9"/>
      <c r="L49" s="9"/>
      <c r="M49" s="9"/>
      <c r="N49" s="9"/>
      <c r="O49" s="9"/>
      <c r="P49" s="10"/>
      <c r="Q49" s="10"/>
      <c r="R49" s="9"/>
      <c r="S49" s="9"/>
      <c r="T49" s="9"/>
      <c r="U49" s="9"/>
      <c r="V49" s="9"/>
      <c r="W49" s="10"/>
      <c r="X49" s="10"/>
      <c r="Y49" s="9"/>
      <c r="Z49" s="9"/>
      <c r="AA49" s="9"/>
      <c r="AB49" s="9"/>
      <c r="AC49" s="9"/>
      <c r="AD49" s="10"/>
      <c r="AE49" s="10"/>
      <c r="AF49" s="9"/>
      <c r="AG49" s="9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10"/>
      <c r="D50" s="9"/>
      <c r="E50" s="9"/>
      <c r="F50" s="9"/>
      <c r="G50" s="9"/>
      <c r="H50" s="9"/>
      <c r="I50" s="10"/>
      <c r="J50" s="10"/>
      <c r="K50" s="9"/>
      <c r="L50" s="9"/>
      <c r="M50" s="9"/>
      <c r="N50" s="9"/>
      <c r="O50" s="9"/>
      <c r="P50" s="10"/>
      <c r="Q50" s="10"/>
      <c r="R50" s="9"/>
      <c r="S50" s="9"/>
      <c r="T50" s="9"/>
      <c r="U50" s="9"/>
      <c r="V50" s="9"/>
      <c r="W50" s="10"/>
      <c r="X50" s="10"/>
      <c r="Y50" s="9"/>
      <c r="Z50" s="9"/>
      <c r="AA50" s="9"/>
      <c r="AB50" s="9"/>
      <c r="AC50" s="9"/>
      <c r="AD50" s="10"/>
      <c r="AE50" s="10"/>
      <c r="AF50" s="9"/>
      <c r="AG50" s="9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10"/>
      <c r="D51" s="9"/>
      <c r="E51" s="9"/>
      <c r="F51" s="9"/>
      <c r="G51" s="9"/>
      <c r="H51" s="9"/>
      <c r="I51" s="10"/>
      <c r="J51" s="10"/>
      <c r="K51" s="9"/>
      <c r="L51" s="9"/>
      <c r="M51" s="9"/>
      <c r="N51" s="9"/>
      <c r="O51" s="9"/>
      <c r="P51" s="10"/>
      <c r="Q51" s="10"/>
      <c r="R51" s="9"/>
      <c r="S51" s="9"/>
      <c r="T51" s="9"/>
      <c r="U51" s="9"/>
      <c r="V51" s="9"/>
      <c r="W51" s="10"/>
      <c r="X51" s="10"/>
      <c r="Y51" s="9"/>
      <c r="Z51" s="9"/>
      <c r="AA51" s="9"/>
      <c r="AB51" s="9"/>
      <c r="AC51" s="9"/>
      <c r="AD51" s="10"/>
      <c r="AE51" s="10"/>
      <c r="AF51" s="9"/>
      <c r="AG51" s="9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10"/>
      <c r="D52" s="9"/>
      <c r="E52" s="9"/>
      <c r="F52" s="9"/>
      <c r="G52" s="9"/>
      <c r="H52" s="9"/>
      <c r="I52" s="10"/>
      <c r="J52" s="10"/>
      <c r="K52" s="9"/>
      <c r="L52" s="9"/>
      <c r="M52" s="9"/>
      <c r="N52" s="9"/>
      <c r="O52" s="9"/>
      <c r="P52" s="10"/>
      <c r="Q52" s="10"/>
      <c r="R52" s="9"/>
      <c r="S52" s="9"/>
      <c r="T52" s="9"/>
      <c r="U52" s="9"/>
      <c r="V52" s="9"/>
      <c r="W52" s="10"/>
      <c r="X52" s="10"/>
      <c r="Y52" s="9"/>
      <c r="Z52" s="9"/>
      <c r="AA52" s="9"/>
      <c r="AB52" s="9"/>
      <c r="AC52" s="9"/>
      <c r="AD52" s="10"/>
      <c r="AE52" s="10"/>
      <c r="AF52" s="9"/>
      <c r="AG52" s="9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10"/>
      <c r="D53" s="9"/>
      <c r="E53" s="9"/>
      <c r="F53" s="9"/>
      <c r="G53" s="9"/>
      <c r="H53" s="9"/>
      <c r="I53" s="10"/>
      <c r="J53" s="10"/>
      <c r="K53" s="9"/>
      <c r="L53" s="9"/>
      <c r="M53" s="9"/>
      <c r="N53" s="9"/>
      <c r="O53" s="9"/>
      <c r="P53" s="10"/>
      <c r="Q53" s="10"/>
      <c r="R53" s="9"/>
      <c r="S53" s="9"/>
      <c r="T53" s="9"/>
      <c r="U53" s="9"/>
      <c r="V53" s="9"/>
      <c r="W53" s="10"/>
      <c r="X53" s="10"/>
      <c r="Y53" s="9"/>
      <c r="Z53" s="9"/>
      <c r="AA53" s="9"/>
      <c r="AB53" s="9"/>
      <c r="AC53" s="9"/>
      <c r="AD53" s="10"/>
      <c r="AE53" s="10"/>
      <c r="AF53" s="9"/>
      <c r="AG53" s="9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10"/>
      <c r="D54" s="9"/>
      <c r="E54" s="9"/>
      <c r="F54" s="9"/>
      <c r="G54" s="9"/>
      <c r="H54" s="9"/>
      <c r="I54" s="10"/>
      <c r="J54" s="10"/>
      <c r="K54" s="9"/>
      <c r="L54" s="9"/>
      <c r="M54" s="9"/>
      <c r="N54" s="9"/>
      <c r="O54" s="9"/>
      <c r="P54" s="10"/>
      <c r="Q54" s="10"/>
      <c r="R54" s="9"/>
      <c r="S54" s="9"/>
      <c r="T54" s="9"/>
      <c r="U54" s="9"/>
      <c r="V54" s="9"/>
      <c r="W54" s="10"/>
      <c r="X54" s="10"/>
      <c r="Y54" s="9"/>
      <c r="Z54" s="9"/>
      <c r="AA54" s="9"/>
      <c r="AB54" s="9"/>
      <c r="AC54" s="9"/>
      <c r="AD54" s="10"/>
      <c r="AE54" s="10"/>
      <c r="AF54" s="9"/>
      <c r="AG54" s="9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10"/>
      <c r="D55" s="9"/>
      <c r="E55" s="9"/>
      <c r="F55" s="9"/>
      <c r="G55" s="9"/>
      <c r="H55" s="9"/>
      <c r="I55" s="10"/>
      <c r="J55" s="10"/>
      <c r="K55" s="9"/>
      <c r="L55" s="9"/>
      <c r="M55" s="9"/>
      <c r="N55" s="9"/>
      <c r="O55" s="9"/>
      <c r="P55" s="10"/>
      <c r="Q55" s="10"/>
      <c r="R55" s="9"/>
      <c r="S55" s="9"/>
      <c r="T55" s="9"/>
      <c r="U55" s="9"/>
      <c r="V55" s="9"/>
      <c r="W55" s="10"/>
      <c r="X55" s="10"/>
      <c r="Y55" s="9"/>
      <c r="Z55" s="9"/>
      <c r="AA55" s="9"/>
      <c r="AB55" s="9"/>
      <c r="AC55" s="9"/>
      <c r="AD55" s="10"/>
      <c r="AE55" s="10"/>
      <c r="AF55" s="9"/>
      <c r="AG55" s="9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</sheetData>
  <mergeCells count="12">
    <mergeCell ref="C1:AG1"/>
    <mergeCell ref="D2:J2"/>
    <mergeCell ref="K2:Q2"/>
    <mergeCell ref="R2:X2"/>
    <mergeCell ref="Y2:AE2"/>
    <mergeCell ref="AF2:AG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20">
      <formula>NOT(ISERROR(SEARCH("H1", C6)))</formula>
    </cfRule>
    <cfRule type="expression" priority="3" aboveAverage="0" equalAverage="0" bottom="0" percent="0" rank="0" text="" dxfId="21">
      <formula>NOT(ISERROR(SEARCH("H2", C6)))</formula>
    </cfRule>
    <cfRule type="expression" priority="4" aboveAverage="0" equalAverage="0" bottom="0" percent="0" rank="0" text="" dxfId="22">
      <formula>NOT(ISERROR(SEARCH("H", C6)))</formula>
    </cfRule>
    <cfRule type="expression" priority="5" aboveAverage="0" equalAverage="0" bottom="0" percent="0" rank="0" text="" dxfId="23">
      <formula>NOT(ISERROR(SEARCH("Q", C6)))</formula>
    </cfRule>
    <cfRule type="expression" priority="6" aboveAverage="0" equalAverage="0" bottom="0" percent="0" rank="0" text="" dxfId="24">
      <formula>NOT(ISERROR(SEARCH("I", C6)))</formula>
    </cfRule>
    <cfRule type="expression" priority="7" aboveAverage="0" equalAverage="0" bottom="0" percent="0" rank="0" text="" dxfId="25">
      <formula>NOT(ISERROR(SEARCH("S", C6)))</formula>
    </cfRule>
    <cfRule type="expression" priority="8" aboveAverage="0" equalAverage="0" bottom="0" percent="0" rank="0" text="" dxfId="26">
      <formula>NOT(ISERROR(SEARCH("M", C6)))</formula>
    </cfRule>
    <cfRule type="expression" priority="9" aboveAverage="0" equalAverage="0" bottom="0" percent="0" rank="0" text="" dxfId="27">
      <formula>NOT(ISERROR(SEARCH("C", C6)))</formula>
    </cfRule>
    <cfRule type="expression" priority="10" aboveAverage="0" equalAverage="0" bottom="0" percent="0" rank="0" text="" dxfId="28">
      <formula>NOT(ISERROR(SEARCH("V", C6)))</formula>
    </cfRule>
    <cfRule type="expression" priority="11" aboveAverage="0" equalAverage="0" bottom="0" percent="0" rank="0" text="" dxfId="29">
      <formula>NOT(ISERROR(SEARCH("A", 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11" activeCellId="0" sqref="S11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.87"/>
    <col collapsed="false" customWidth="true" hidden="false" outlineLevel="0" max="32" min="3" style="0" width="4"/>
    <col collapsed="false" customWidth="true" hidden="false" outlineLevel="0" max="34" min="34" style="0" width="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8" min="38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" hidden="false" customHeight="true" outlineLevel="0" collapsed="false">
      <c r="C2" s="1" t="s">
        <v>64</v>
      </c>
      <c r="D2" s="1"/>
      <c r="E2" s="1"/>
      <c r="F2" s="1"/>
      <c r="G2" s="1"/>
      <c r="H2" s="1" t="s">
        <v>67</v>
      </c>
      <c r="I2" s="1"/>
      <c r="J2" s="1"/>
      <c r="K2" s="1"/>
      <c r="L2" s="1"/>
      <c r="M2" s="1"/>
      <c r="N2" s="1"/>
      <c r="O2" s="1" t="s">
        <v>68</v>
      </c>
      <c r="P2" s="1"/>
      <c r="Q2" s="1"/>
      <c r="R2" s="1"/>
      <c r="S2" s="1"/>
      <c r="T2" s="1"/>
      <c r="U2" s="1"/>
      <c r="V2" s="1" t="s">
        <v>69</v>
      </c>
      <c r="W2" s="1"/>
      <c r="X2" s="1"/>
      <c r="Y2" s="1"/>
      <c r="Z2" s="1"/>
      <c r="AA2" s="1"/>
      <c r="AB2" s="1"/>
      <c r="AC2" s="1" t="s">
        <v>70</v>
      </c>
      <c r="AD2" s="1"/>
      <c r="AE2" s="1"/>
      <c r="AF2" s="1"/>
    </row>
    <row r="3" customFormat="false" ht="12" hidden="false" customHeight="true" outlineLevel="0" collapsed="false">
      <c r="B3" s="2"/>
      <c r="C3" s="3" t="s">
        <v>71</v>
      </c>
      <c r="D3" s="3" t="s">
        <v>71</v>
      </c>
      <c r="E3" s="3" t="s">
        <v>71</v>
      </c>
      <c r="F3" s="3" t="s">
        <v>71</v>
      </c>
      <c r="G3" s="3" t="s">
        <v>71</v>
      </c>
      <c r="H3" s="3" t="s">
        <v>71</v>
      </c>
      <c r="I3" s="3" t="s">
        <v>71</v>
      </c>
      <c r="J3" s="3" t="s">
        <v>71</v>
      </c>
      <c r="K3" s="3" t="s">
        <v>71</v>
      </c>
      <c r="L3" s="3" t="s">
        <v>71</v>
      </c>
      <c r="M3" s="3" t="s">
        <v>71</v>
      </c>
      <c r="N3" s="3" t="s">
        <v>71</v>
      </c>
      <c r="O3" s="3" t="s">
        <v>71</v>
      </c>
      <c r="P3" s="3" t="s">
        <v>71</v>
      </c>
      <c r="Q3" s="3" t="s">
        <v>71</v>
      </c>
      <c r="R3" s="3" t="s">
        <v>71</v>
      </c>
      <c r="S3" s="3" t="s">
        <v>71</v>
      </c>
      <c r="T3" s="3" t="s">
        <v>71</v>
      </c>
      <c r="U3" s="3" t="s">
        <v>71</v>
      </c>
      <c r="V3" s="3" t="s">
        <v>71</v>
      </c>
      <c r="W3" s="3" t="s">
        <v>71</v>
      </c>
      <c r="X3" s="3" t="s">
        <v>71</v>
      </c>
      <c r="Y3" s="3" t="s">
        <v>71</v>
      </c>
      <c r="Z3" s="3" t="s">
        <v>71</v>
      </c>
      <c r="AA3" s="3" t="s">
        <v>71</v>
      </c>
      <c r="AB3" s="3" t="s">
        <v>71</v>
      </c>
      <c r="AC3" s="3" t="s">
        <v>71</v>
      </c>
      <c r="AD3" s="3" t="s">
        <v>71</v>
      </c>
      <c r="AE3" s="3" t="s">
        <v>71</v>
      </c>
      <c r="AF3" s="3" t="s">
        <v>71</v>
      </c>
      <c r="AG3" s="4" t="s">
        <v>7</v>
      </c>
      <c r="AI3" s="4" t="s">
        <v>8</v>
      </c>
      <c r="AJ3" s="4" t="s">
        <v>9</v>
      </c>
      <c r="AK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4"/>
      <c r="AI4" s="4"/>
      <c r="AJ4" s="4"/>
      <c r="AK4" s="4"/>
    </row>
    <row r="5" customFormat="false" ht="12" hidden="false" customHeight="true" outlineLevel="0" collapsed="false">
      <c r="B5" s="2"/>
      <c r="C5" s="6" t="s">
        <v>17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  <c r="Q5" s="6" t="s">
        <v>17</v>
      </c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6" t="s">
        <v>16</v>
      </c>
      <c r="AE5" s="6" t="s">
        <v>17</v>
      </c>
      <c r="AF5" s="6" t="s">
        <v>11</v>
      </c>
      <c r="AG5" s="4"/>
      <c r="AI5" s="4"/>
      <c r="AJ5" s="4"/>
      <c r="AK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 t="s">
        <v>39</v>
      </c>
      <c r="E6" s="9" t="s">
        <v>20</v>
      </c>
      <c r="F6" s="10"/>
      <c r="G6" s="10"/>
      <c r="H6" s="9" t="s">
        <v>20</v>
      </c>
      <c r="I6" s="9"/>
      <c r="J6" s="9"/>
      <c r="K6" s="9"/>
      <c r="L6" s="9"/>
      <c r="M6" s="10"/>
      <c r="N6" s="10"/>
      <c r="O6" s="9"/>
      <c r="P6" s="9"/>
      <c r="Q6" s="9"/>
      <c r="R6" s="9"/>
      <c r="S6" s="9"/>
      <c r="T6" s="10"/>
      <c r="U6" s="10"/>
      <c r="V6" s="9"/>
      <c r="W6" s="9"/>
      <c r="X6" s="9"/>
      <c r="Y6" s="9"/>
      <c r="Z6" s="9"/>
      <c r="AA6" s="10"/>
      <c r="AB6" s="10"/>
      <c r="AC6" s="9"/>
      <c r="AD6" s="9"/>
      <c r="AE6" s="9"/>
      <c r="AF6" s="9" t="s">
        <v>30</v>
      </c>
      <c r="AG6" s="11" t="n">
        <f aca="false">(COUNTIF(C6:AF6,"H")*1)+(COUNTIF(C6:AF6,"H1")*0.5)+(COUNTIF(C6:AF6,"H2")*0.5)+(COUNTIF(C6:AF6,"Q")*0.25)+(COUNTIF(C6:AF6,"I")*1)+(COUNTIF(C6:AF6,"S")*0)+(COUNTIF(C6:AF6,"M")*1)+(COUNTIF(C6:AF6,"C")*0)+(COUNTIF(C6:AF6,"V")*1)+(COUNTIF(C6:AF6,"A")*1)</f>
        <v>3</v>
      </c>
      <c r="AI6" s="11" t="s">
        <v>21</v>
      </c>
      <c r="AJ6" s="12" t="s">
        <v>20</v>
      </c>
      <c r="AK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9" t="s">
        <v>20</v>
      </c>
      <c r="F7" s="10"/>
      <c r="G7" s="10"/>
      <c r="H7" s="9" t="s">
        <v>20</v>
      </c>
      <c r="I7" s="9"/>
      <c r="J7" s="9"/>
      <c r="K7" s="9"/>
      <c r="L7" s="9"/>
      <c r="M7" s="10"/>
      <c r="N7" s="10"/>
      <c r="O7" s="9"/>
      <c r="P7" s="9"/>
      <c r="Q7" s="9" t="s">
        <v>19</v>
      </c>
      <c r="R7" s="9" t="s">
        <v>19</v>
      </c>
      <c r="S7" s="9" t="s">
        <v>19</v>
      </c>
      <c r="T7" s="10"/>
      <c r="U7" s="10"/>
      <c r="V7" s="9" t="s">
        <v>19</v>
      </c>
      <c r="W7" s="9" t="s">
        <v>19</v>
      </c>
      <c r="X7" s="9" t="s">
        <v>19</v>
      </c>
      <c r="Y7" s="9" t="s">
        <v>19</v>
      </c>
      <c r="Z7" s="9" t="s">
        <v>19</v>
      </c>
      <c r="AA7" s="10"/>
      <c r="AB7" s="10"/>
      <c r="AC7" s="9"/>
      <c r="AD7" s="9"/>
      <c r="AE7" s="9"/>
      <c r="AF7" s="9"/>
      <c r="AG7" s="11" t="n">
        <f aca="false">(COUNTIF(C7:AF7,"H")*1)+(COUNTIF(C7:AF7,"H1")*0.5)+(COUNTIF(C7:AF7,"H2")*0.5)+(COUNTIF(C7:AF7,"Q")*0.25)+(COUNTIF(C7:AF7,"I")*1)+(COUNTIF(C7:AF7,"S")*0)+(COUNTIF(C7:AF7,"M")*1)+(COUNTIF(C7:AF7,"C")*0)+(COUNTIF(C7:AF7,"V")*1)+(COUNTIF(C7:AF7,"A")*1)</f>
        <v>10</v>
      </c>
      <c r="AI7" s="11" t="s">
        <v>24</v>
      </c>
      <c r="AJ7" s="14" t="s">
        <v>25</v>
      </c>
      <c r="AK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/>
      <c r="D8" s="9"/>
      <c r="E8" s="9" t="s">
        <v>20</v>
      </c>
      <c r="F8" s="10"/>
      <c r="G8" s="10"/>
      <c r="H8" s="9" t="s">
        <v>20</v>
      </c>
      <c r="I8" s="9"/>
      <c r="J8" s="9"/>
      <c r="K8" s="9"/>
      <c r="L8" s="9"/>
      <c r="M8" s="10"/>
      <c r="N8" s="10"/>
      <c r="O8" s="9"/>
      <c r="P8" s="9"/>
      <c r="Q8" s="9"/>
      <c r="R8" s="9"/>
      <c r="S8" s="9"/>
      <c r="T8" s="10"/>
      <c r="U8" s="10"/>
      <c r="V8" s="9"/>
      <c r="W8" s="9"/>
      <c r="X8" s="9"/>
      <c r="Y8" s="9"/>
      <c r="Z8" s="9"/>
      <c r="AA8" s="10"/>
      <c r="AB8" s="10"/>
      <c r="AC8" s="9"/>
      <c r="AD8" s="9"/>
      <c r="AE8" s="9"/>
      <c r="AF8" s="9"/>
      <c r="AG8" s="11" t="n">
        <f aca="false">(COUNTIF(C8:AF8,"H")*1)+(COUNTIF(C8:AF8,"H1")*0.5)+(COUNTIF(C8:AF8,"H2")*0.5)+(COUNTIF(C8:AF8,"Q")*0.25)+(COUNTIF(C8:AF8,"I")*1)+(COUNTIF(C8:AF8,"S")*0)+(COUNTIF(C8:AF8,"M")*1)+(COUNTIF(C8:AF8,"C")*0)+(COUNTIF(C8:AF8,"V")*1)+(COUNTIF(C8:AF8,"A")*1)</f>
        <v>2</v>
      </c>
      <c r="AI8" s="11" t="s">
        <v>27</v>
      </c>
      <c r="AJ8" s="14" t="s">
        <v>28</v>
      </c>
      <c r="AK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 t="s">
        <v>30</v>
      </c>
      <c r="E9" s="9" t="s">
        <v>20</v>
      </c>
      <c r="F9" s="10"/>
      <c r="G9" s="10"/>
      <c r="H9" s="9" t="s">
        <v>20</v>
      </c>
      <c r="I9" s="9"/>
      <c r="J9" s="9" t="s">
        <v>19</v>
      </c>
      <c r="K9" s="9" t="s">
        <v>19</v>
      </c>
      <c r="L9" s="9" t="s">
        <v>19</v>
      </c>
      <c r="M9" s="10"/>
      <c r="N9" s="10"/>
      <c r="O9" s="9"/>
      <c r="P9" s="9" t="s">
        <v>19</v>
      </c>
      <c r="Q9" s="9"/>
      <c r="R9" s="9"/>
      <c r="S9" s="9"/>
      <c r="T9" s="10"/>
      <c r="U9" s="10"/>
      <c r="V9" s="9"/>
      <c r="W9" s="9"/>
      <c r="X9" s="9" t="s">
        <v>19</v>
      </c>
      <c r="Y9" s="9"/>
      <c r="Z9" s="9"/>
      <c r="AA9" s="10"/>
      <c r="AB9" s="10"/>
      <c r="AC9" s="9" t="s">
        <v>30</v>
      </c>
      <c r="AD9" s="9"/>
      <c r="AE9" s="9"/>
      <c r="AF9" s="9"/>
      <c r="AG9" s="11" t="n">
        <f aca="false">(COUNTIF(C9:AF9,"H")*1)+(COUNTIF(C9:AF9,"H1")*0.5)+(COUNTIF(C9:AF9,"H2")*0.5)+(COUNTIF(C9:AF9,"Q")*0.25)+(COUNTIF(C9:AF9,"I")*1)+(COUNTIF(C9:AF9,"S")*0)+(COUNTIF(C9:AF9,"M")*1)+(COUNTIF(C9:AF9,"C")*0)+(COUNTIF(C9:AF9,"V")*1)+(COUNTIF(C9:AF9,"A")*1)</f>
        <v>7</v>
      </c>
      <c r="AI9" s="11" t="s">
        <v>31</v>
      </c>
      <c r="AJ9" s="15" t="s">
        <v>32</v>
      </c>
      <c r="AK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9" t="s">
        <v>20</v>
      </c>
      <c r="F10" s="10"/>
      <c r="G10" s="10"/>
      <c r="H10" s="9" t="s">
        <v>20</v>
      </c>
      <c r="I10" s="9"/>
      <c r="J10" s="9"/>
      <c r="K10" s="9"/>
      <c r="L10" s="9"/>
      <c r="M10" s="10"/>
      <c r="N10" s="10"/>
      <c r="O10" s="9"/>
      <c r="P10" s="9"/>
      <c r="Q10" s="9"/>
      <c r="R10" s="9" t="s">
        <v>72</v>
      </c>
      <c r="S10" s="9" t="s">
        <v>72</v>
      </c>
      <c r="T10" s="10"/>
      <c r="U10" s="10"/>
      <c r="V10" s="9"/>
      <c r="W10" s="9"/>
      <c r="X10" s="9"/>
      <c r="Y10" s="9"/>
      <c r="Z10" s="9"/>
      <c r="AA10" s="10"/>
      <c r="AB10" s="10"/>
      <c r="AC10" s="9"/>
      <c r="AD10" s="9"/>
      <c r="AE10" s="9"/>
      <c r="AF10" s="9"/>
      <c r="AG10" s="11" t="n">
        <f aca="false">(COUNTIF(C10:AF10,"H")*1)+(COUNTIF(C10:AF10,"H1")*0.5)+(COUNTIF(C10:AF10,"H2")*0.5)+(COUNTIF(C10:AF10,"Q")*0.25)+(COUNTIF(C10:AF10,"I")*1)+(COUNTIF(C10:AF10,"S")*0)+(COUNTIF(C10:AF10,"M")*1)+(COUNTIF(C10:AF10,"C")*0)+(COUNTIF(C10:AF10,"V")*1)+(COUNTIF(C10:AF10,"A")*1)</f>
        <v>2</v>
      </c>
      <c r="AI10" s="11" t="s">
        <v>34</v>
      </c>
      <c r="AJ10" s="17" t="s">
        <v>23</v>
      </c>
      <c r="AK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/>
      <c r="D11" s="9"/>
      <c r="E11" s="9" t="s">
        <v>20</v>
      </c>
      <c r="F11" s="10"/>
      <c r="G11" s="10"/>
      <c r="H11" s="9" t="s">
        <v>20</v>
      </c>
      <c r="I11" s="9"/>
      <c r="J11" s="9"/>
      <c r="K11" s="9"/>
      <c r="L11" s="9"/>
      <c r="M11" s="10"/>
      <c r="N11" s="10"/>
      <c r="O11" s="9"/>
      <c r="P11" s="9"/>
      <c r="Q11" s="9"/>
      <c r="R11" s="9"/>
      <c r="S11" s="9"/>
      <c r="T11" s="10"/>
      <c r="U11" s="10"/>
      <c r="V11" s="9"/>
      <c r="W11" s="9"/>
      <c r="X11" s="9"/>
      <c r="Y11" s="9"/>
      <c r="Z11" s="9"/>
      <c r="AA11" s="10"/>
      <c r="AB11" s="10"/>
      <c r="AC11" s="9"/>
      <c r="AD11" s="9"/>
      <c r="AE11" s="9"/>
      <c r="AF11" s="9"/>
      <c r="AG11" s="11" t="n">
        <f aca="false">(COUNTIF(C11:AF11,"H")*1)+(COUNTIF(C11:AF11,"H1")*0.5)+(COUNTIF(C11:AF11,"H2")*0.5)+(COUNTIF(C11:AF11,"Q")*0.25)+(COUNTIF(C11:AF11,"I")*1)+(COUNTIF(C11:AF11,"S")*0)+(COUNTIF(C11:AF11,"M")*1)+(COUNTIF(C11:AF11,"C")*0)+(COUNTIF(C11:AF11,"V")*1)+(COUNTIF(C11:AF11,"A")*1)</f>
        <v>2</v>
      </c>
      <c r="AI11" s="11" t="s">
        <v>36</v>
      </c>
      <c r="AJ11" s="18" t="s">
        <v>30</v>
      </c>
      <c r="AK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9" t="s">
        <v>20</v>
      </c>
      <c r="F12" s="10"/>
      <c r="G12" s="10"/>
      <c r="H12" s="9" t="s">
        <v>20</v>
      </c>
      <c r="I12" s="9" t="s">
        <v>19</v>
      </c>
      <c r="J12" s="9"/>
      <c r="K12" s="9"/>
      <c r="L12" s="9"/>
      <c r="M12" s="10"/>
      <c r="N12" s="10"/>
      <c r="O12" s="9"/>
      <c r="P12" s="9"/>
      <c r="Q12" s="9"/>
      <c r="R12" s="9"/>
      <c r="S12" s="9"/>
      <c r="T12" s="10"/>
      <c r="U12" s="10"/>
      <c r="V12" s="9"/>
      <c r="W12" s="9"/>
      <c r="X12" s="9"/>
      <c r="Y12" s="9"/>
      <c r="Z12" s="9"/>
      <c r="AA12" s="10"/>
      <c r="AB12" s="10"/>
      <c r="AC12" s="9"/>
      <c r="AD12" s="9"/>
      <c r="AE12" s="9"/>
      <c r="AF12" s="9"/>
      <c r="AG12" s="11" t="n">
        <f aca="false">(COUNTIF(C12:AF12,"H")*1)+(COUNTIF(C12:AF12,"H1")*0.5)+(COUNTIF(C12:AF12,"H2")*0.5)+(COUNTIF(C12:AF12,"Q")*0.25)+(COUNTIF(C12:AF12,"I")*1)+(COUNTIF(C12:AF12,"S")*0)+(COUNTIF(C12:AF12,"M")*1)+(COUNTIF(C12:AF12,"C")*0)+(COUNTIF(C12:AF12,"V")*1)+(COUNTIF(C12:AF12,"A")*1)</f>
        <v>3</v>
      </c>
      <c r="AI12" s="11" t="s">
        <v>38</v>
      </c>
      <c r="AJ12" s="19" t="s">
        <v>39</v>
      </c>
      <c r="AK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9" t="s">
        <v>20</v>
      </c>
      <c r="F13" s="10"/>
      <c r="G13" s="10"/>
      <c r="H13" s="9" t="s">
        <v>20</v>
      </c>
      <c r="I13" s="9"/>
      <c r="J13" s="9"/>
      <c r="K13" s="9"/>
      <c r="L13" s="9"/>
      <c r="M13" s="10"/>
      <c r="N13" s="10"/>
      <c r="O13" s="9"/>
      <c r="P13" s="9"/>
      <c r="Q13" s="9"/>
      <c r="R13" s="9"/>
      <c r="S13" s="9"/>
      <c r="T13" s="10"/>
      <c r="U13" s="10"/>
      <c r="V13" s="9"/>
      <c r="W13" s="9"/>
      <c r="X13" s="9"/>
      <c r="Y13" s="9"/>
      <c r="Z13" s="9"/>
      <c r="AA13" s="10"/>
      <c r="AB13" s="10"/>
      <c r="AC13" s="9"/>
      <c r="AD13" s="9"/>
      <c r="AE13" s="9"/>
      <c r="AF13" s="9"/>
      <c r="AG13" s="11" t="n">
        <f aca="false">(COUNTIF(C13:AF13,"H")*1)+(COUNTIF(C13:AF13,"H1")*0.5)+(COUNTIF(C13:AF13,"H2")*0.5)+(COUNTIF(C13:AF13,"Q")*0.25)+(COUNTIF(C13:AF13,"I")*1)+(COUNTIF(C13:AF13,"S")*0)+(COUNTIF(C13:AF13,"M")*1)+(COUNTIF(C13:AF13,"C")*0)+(COUNTIF(C13:AF13,"V")*1)+(COUNTIF(C13:AF13,"A")*1)</f>
        <v>2</v>
      </c>
      <c r="AI13" s="11" t="s">
        <v>41</v>
      </c>
      <c r="AJ13" s="20" t="s">
        <v>42</v>
      </c>
      <c r="AK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/>
      <c r="D14" s="9"/>
      <c r="E14" s="9" t="s">
        <v>20</v>
      </c>
      <c r="F14" s="10"/>
      <c r="G14" s="10"/>
      <c r="H14" s="9" t="s">
        <v>20</v>
      </c>
      <c r="I14" s="9"/>
      <c r="J14" s="9"/>
      <c r="K14" s="9"/>
      <c r="L14" s="9"/>
      <c r="M14" s="10"/>
      <c r="N14" s="10"/>
      <c r="O14" s="9"/>
      <c r="P14" s="9"/>
      <c r="Q14" s="9"/>
      <c r="R14" s="9"/>
      <c r="S14" s="9"/>
      <c r="T14" s="10"/>
      <c r="U14" s="10"/>
      <c r="V14" s="9"/>
      <c r="W14" s="9"/>
      <c r="X14" s="9"/>
      <c r="Y14" s="9"/>
      <c r="Z14" s="9"/>
      <c r="AA14" s="10"/>
      <c r="AB14" s="10"/>
      <c r="AC14" s="9" t="s">
        <v>19</v>
      </c>
      <c r="AD14" s="9"/>
      <c r="AE14" s="9"/>
      <c r="AF14" s="9"/>
      <c r="AG14" s="11" t="n">
        <f aca="false">(COUNTIF(C14:AF14,"H")*1)+(COUNTIF(C14:AF14,"H1")*0.5)+(COUNTIF(C14:AF14,"H2")*0.5)+(COUNTIF(C14:AF14,"Q")*0.25)+(COUNTIF(C14:AF14,"I")*1)+(COUNTIF(C14:AF14,"S")*0)+(COUNTIF(C14:AF14,"M")*1)+(COUNTIF(C14:AF14,"C")*0)+(COUNTIF(C14:AF14,"V")*1)+(COUNTIF(C14:AF14,"A")*1)</f>
        <v>3</v>
      </c>
      <c r="AI14" s="11" t="s">
        <v>44</v>
      </c>
      <c r="AJ14" s="21" t="s">
        <v>19</v>
      </c>
      <c r="AK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 t="s">
        <v>19</v>
      </c>
      <c r="E15" s="9" t="s">
        <v>20</v>
      </c>
      <c r="F15" s="10"/>
      <c r="G15" s="10"/>
      <c r="H15" s="9" t="s">
        <v>20</v>
      </c>
      <c r="I15" s="9"/>
      <c r="J15" s="9"/>
      <c r="K15" s="9"/>
      <c r="L15" s="9"/>
      <c r="M15" s="10"/>
      <c r="N15" s="10"/>
      <c r="O15" s="9"/>
      <c r="P15" s="9"/>
      <c r="Q15" s="9"/>
      <c r="R15" s="9"/>
      <c r="S15" s="9"/>
      <c r="T15" s="10"/>
      <c r="U15" s="10"/>
      <c r="V15" s="9"/>
      <c r="W15" s="9"/>
      <c r="X15" s="9"/>
      <c r="Y15" s="9"/>
      <c r="Z15" s="9"/>
      <c r="AA15" s="10"/>
      <c r="AB15" s="10"/>
      <c r="AC15" s="9"/>
      <c r="AD15" s="9"/>
      <c r="AE15" s="9"/>
      <c r="AF15" s="9"/>
      <c r="AG15" s="11" t="n">
        <f aca="false">(COUNTIF(C15:AF15,"H")*1)+(COUNTIF(C15:AF15,"H1")*0.5)+(COUNTIF(C15:AF15,"H2")*0.5)+(COUNTIF(C15:AF15,"Q")*0.25)+(COUNTIF(C15:AF15,"I")*1)+(COUNTIF(C15:AF15,"S")*0)+(COUNTIF(C15:AF15,"M")*1)+(COUNTIF(C15:AF15,"C")*0)+(COUNTIF(C15:AF15,"V")*1)+(COUNTIF(C15:AF15,"A")*1)</f>
        <v>3</v>
      </c>
      <c r="AI15" s="11" t="s">
        <v>46</v>
      </c>
      <c r="AJ15" s="22" t="s">
        <v>47</v>
      </c>
      <c r="AK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9" t="s">
        <v>20</v>
      </c>
      <c r="F16" s="10"/>
      <c r="G16" s="10"/>
      <c r="H16" s="9" t="s">
        <v>20</v>
      </c>
      <c r="I16" s="9"/>
      <c r="J16" s="9"/>
      <c r="K16" s="9"/>
      <c r="L16" s="9"/>
      <c r="M16" s="10"/>
      <c r="N16" s="10"/>
      <c r="O16" s="9"/>
      <c r="P16" s="9"/>
      <c r="Q16" s="9"/>
      <c r="R16" s="9"/>
      <c r="S16" s="9"/>
      <c r="T16" s="10"/>
      <c r="U16" s="10"/>
      <c r="V16" s="9"/>
      <c r="W16" s="9"/>
      <c r="X16" s="9"/>
      <c r="Y16" s="9"/>
      <c r="Z16" s="9"/>
      <c r="AA16" s="10"/>
      <c r="AB16" s="10"/>
      <c r="AC16" s="9"/>
      <c r="AD16" s="9"/>
      <c r="AE16" s="9"/>
      <c r="AF16" s="9" t="s">
        <v>19</v>
      </c>
      <c r="AG16" s="11" t="n">
        <f aca="false">(COUNTIF(C16:AF16,"H")*1)+(COUNTIF(C16:AF16,"H1")*0.5)+(COUNTIF(C16:AF16,"H2")*0.5)+(COUNTIF(C16:AF16,"Q")*0.25)+(COUNTIF(C16:AF16,"I")*1)+(COUNTIF(C16:AF16,"S")*0)+(COUNTIF(C16:AF16,"M")*1)+(COUNTIF(C16:AF16,"C")*0)+(COUNTIF(C16:AF16,"V")*1)+(COUNTIF(C16:AF16,"A")*1)</f>
        <v>3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/>
      <c r="D17" s="9"/>
      <c r="E17" s="9" t="s">
        <v>20</v>
      </c>
      <c r="F17" s="10"/>
      <c r="G17" s="10"/>
      <c r="H17" s="9" t="s">
        <v>20</v>
      </c>
      <c r="I17" s="9"/>
      <c r="J17" s="9"/>
      <c r="K17" s="9"/>
      <c r="L17" s="9"/>
      <c r="M17" s="10"/>
      <c r="N17" s="10"/>
      <c r="O17" s="9" t="s">
        <v>30</v>
      </c>
      <c r="P17" s="9"/>
      <c r="Q17" s="9"/>
      <c r="R17" s="9"/>
      <c r="S17" s="9"/>
      <c r="T17" s="10"/>
      <c r="U17" s="10"/>
      <c r="V17" s="9"/>
      <c r="W17" s="9"/>
      <c r="X17" s="9"/>
      <c r="Y17" s="9"/>
      <c r="Z17" s="9"/>
      <c r="AA17" s="10"/>
      <c r="AB17" s="10"/>
      <c r="AC17" s="9"/>
      <c r="AD17" s="9"/>
      <c r="AE17" s="9" t="s">
        <v>30</v>
      </c>
      <c r="AF17" s="9"/>
      <c r="AG17" s="11" t="n">
        <f aca="false">(COUNTIF(C17:AF17,"H")*1)+(COUNTIF(C17:AF17,"H1")*0.5)+(COUNTIF(C17:AF17,"H2")*0.5)+(COUNTIF(C17:AF17,"Q")*0.25)+(COUNTIF(C17:AF17,"I")*1)+(COUNTIF(C17:AF17,"S")*0)+(COUNTIF(C17:AF17,"M")*1)+(COUNTIF(C17:AF17,"C")*0)+(COUNTIF(C17:AF17,"V")*1)+(COUNTIF(C17:AF17,"A")*1)</f>
        <v>2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9" t="s">
        <v>20</v>
      </c>
      <c r="F18" s="10"/>
      <c r="G18" s="10"/>
      <c r="H18" s="9" t="s">
        <v>20</v>
      </c>
      <c r="I18" s="9"/>
      <c r="J18" s="9"/>
      <c r="K18" s="9"/>
      <c r="L18" s="9"/>
      <c r="M18" s="10"/>
      <c r="N18" s="10"/>
      <c r="O18" s="9"/>
      <c r="P18" s="9"/>
      <c r="Q18" s="9"/>
      <c r="R18" s="9"/>
      <c r="S18" s="9"/>
      <c r="T18" s="10"/>
      <c r="U18" s="10"/>
      <c r="V18" s="9"/>
      <c r="W18" s="9"/>
      <c r="X18" s="9"/>
      <c r="Y18" s="9"/>
      <c r="Z18" s="9"/>
      <c r="AA18" s="10"/>
      <c r="AB18" s="10"/>
      <c r="AC18" s="9"/>
      <c r="AD18" s="9"/>
      <c r="AE18" s="9"/>
      <c r="AF18" s="9"/>
      <c r="AG18" s="11" t="n">
        <f aca="false">(COUNTIF(C18:AF18,"H")*1)+(COUNTIF(C18:AF18,"H1")*0.5)+(COUNTIF(C18:AF18,"H2")*0.5)+(COUNTIF(C18:AF18,"Q")*0.25)+(COUNTIF(C18:AF18,"I")*1)+(COUNTIF(C18:AF18,"S")*0)+(COUNTIF(C18:AF18,"M")*1)+(COUNTIF(C18:AF18,"C")*0)+(COUNTIF(C18:AF18,"V")*1)+(COUNTIF(C18:AF18,"A")*1)</f>
        <v>2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9" t="s">
        <v>20</v>
      </c>
      <c r="F19" s="10"/>
      <c r="G19" s="10"/>
      <c r="H19" s="9" t="s">
        <v>20</v>
      </c>
      <c r="I19" s="9"/>
      <c r="J19" s="9"/>
      <c r="K19" s="9"/>
      <c r="L19" s="9"/>
      <c r="M19" s="10"/>
      <c r="N19" s="10"/>
      <c r="O19" s="9"/>
      <c r="P19" s="9"/>
      <c r="Q19" s="9"/>
      <c r="R19" s="9"/>
      <c r="S19" s="9"/>
      <c r="T19" s="10"/>
      <c r="U19" s="10"/>
      <c r="V19" s="9"/>
      <c r="W19" s="9"/>
      <c r="X19" s="9"/>
      <c r="Y19" s="9"/>
      <c r="Z19" s="9"/>
      <c r="AA19" s="10"/>
      <c r="AB19" s="10"/>
      <c r="AC19" s="9"/>
      <c r="AD19" s="9"/>
      <c r="AE19" s="9"/>
      <c r="AF19" s="9"/>
      <c r="AG19" s="11" t="n">
        <f aca="false">(COUNTIF(C19:AF19,"H")*1)+(COUNTIF(C19:AF19,"H1")*0.5)+(COUNTIF(C19:AF19,"H2")*0.5)+(COUNTIF(C19:AF19,"Q")*0.25)+(COUNTIF(C19:AF19,"I")*1)+(COUNTIF(C19:AF19,"S")*0)+(COUNTIF(C19:AF19,"M")*1)+(COUNTIF(C19:AF19,"C")*0)+(COUNTIF(C19:AF19,"V")*1)+(COUNTIF(C19:AF19,"A")*1)</f>
        <v>2</v>
      </c>
    </row>
    <row r="20" customFormat="false" ht="19.5" hidden="false" customHeight="true" outlineLevel="0" collapsed="false">
      <c r="B20" s="8" t="n">
        <f aca="false">'January 2026'!B20</f>
        <v>0</v>
      </c>
      <c r="C20" s="9"/>
      <c r="D20" s="9"/>
      <c r="E20" s="9"/>
      <c r="F20" s="10"/>
      <c r="G20" s="10"/>
      <c r="H20" s="9"/>
      <c r="I20" s="9"/>
      <c r="J20" s="9"/>
      <c r="K20" s="9"/>
      <c r="L20" s="9"/>
      <c r="M20" s="10"/>
      <c r="N20" s="10"/>
      <c r="O20" s="9"/>
      <c r="P20" s="9"/>
      <c r="Q20" s="9"/>
      <c r="R20" s="9"/>
      <c r="S20" s="9"/>
      <c r="T20" s="10"/>
      <c r="U20" s="10"/>
      <c r="V20" s="9"/>
      <c r="W20" s="9"/>
      <c r="X20" s="9"/>
      <c r="Y20" s="9"/>
      <c r="Z20" s="9"/>
      <c r="AA20" s="10"/>
      <c r="AB20" s="10"/>
      <c r="AC20" s="9"/>
      <c r="AD20" s="9"/>
      <c r="AE20" s="9"/>
      <c r="AF20" s="9"/>
      <c r="AG20" s="11" t="n">
        <f aca="false">(COUNTIF(C20:AF20,"H")*1)+(COUNTIF(C20:AF20,"H1")*0.5)+(COUNTIF(C20:AF20,"H2")*0.5)+(COUNTIF(C20:AF20,"Q")*0.25)+(COUNTIF(C20:AF20,"I")*1)+(COUNTIF(C20:AF20,"S")*0)+(COUNTIF(C20:AF20,"M")*1)+(COUNTIF(C20:AF20,"C")*0)+(COUNTIF(C20:AF20,"V")*1)+(COUNTIF(C20:AF20,"A")*1)</f>
        <v>0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9"/>
      <c r="F21" s="10"/>
      <c r="G21" s="10"/>
      <c r="H21" s="9"/>
      <c r="I21" s="9"/>
      <c r="J21" s="9"/>
      <c r="K21" s="9"/>
      <c r="L21" s="9"/>
      <c r="M21" s="10"/>
      <c r="N21" s="10"/>
      <c r="O21" s="9"/>
      <c r="P21" s="9"/>
      <c r="Q21" s="9"/>
      <c r="R21" s="9"/>
      <c r="S21" s="9"/>
      <c r="T21" s="10"/>
      <c r="U21" s="10"/>
      <c r="V21" s="9"/>
      <c r="W21" s="9"/>
      <c r="X21" s="9"/>
      <c r="Y21" s="9"/>
      <c r="Z21" s="9"/>
      <c r="AA21" s="10"/>
      <c r="AB21" s="10"/>
      <c r="AC21" s="9"/>
      <c r="AD21" s="9"/>
      <c r="AE21" s="9"/>
      <c r="AF21" s="9"/>
      <c r="AG21" s="11" t="n">
        <f aca="false">(COUNTIF(C21:AF21,"H")*1)+(COUNTIF(C21:AF21,"H1")*0.5)+(COUNTIF(C21:AF21,"H2")*0.5)+(COUNTIF(C21:AF21,"Q")*0.25)+(COUNTIF(C21:AF21,"I")*1)+(COUNTIF(C21:AF21,"S")*0)+(COUNTIF(C21:AF21,"M")*1)+(COUNTIF(C21:AF21,"C")*0)+(COUNTIF(C21:AF21,"V")*1)+(COUNTIF(C21:AF21,"A")*1)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9"/>
      <c r="F22" s="10"/>
      <c r="G22" s="10"/>
      <c r="H22" s="9"/>
      <c r="I22" s="9"/>
      <c r="J22" s="9"/>
      <c r="K22" s="9"/>
      <c r="L22" s="9"/>
      <c r="M22" s="10"/>
      <c r="N22" s="10"/>
      <c r="O22" s="9"/>
      <c r="P22" s="9"/>
      <c r="Q22" s="9"/>
      <c r="R22" s="9"/>
      <c r="S22" s="9"/>
      <c r="T22" s="10"/>
      <c r="U22" s="10"/>
      <c r="V22" s="9"/>
      <c r="W22" s="9"/>
      <c r="X22" s="9"/>
      <c r="Y22" s="9"/>
      <c r="Z22" s="9"/>
      <c r="AA22" s="10"/>
      <c r="AB22" s="10"/>
      <c r="AC22" s="9"/>
      <c r="AD22" s="9"/>
      <c r="AE22" s="9"/>
      <c r="AF22" s="9"/>
      <c r="AG22" s="11" t="n">
        <f aca="false">(COUNTIF(C22:AF22,"H")*1)+(COUNTIF(C22:AF22,"H1")*0.5)+(COUNTIF(C22:AF22,"H2")*0.5)+(COUNTIF(C22:AF22,"Q")*0.25)+(COUNTIF(C22:AF22,"I")*1)+(COUNTIF(C22:AF22,"S")*0)+(COUNTIF(C22:AF22,"M")*1)+(COUNTIF(C22:AF22,"C")*0)+(COUNTIF(C22:AF22,"V")*1)+(COUNTIF(C22:AF22,"A")*1)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9"/>
      <c r="F23" s="10"/>
      <c r="G23" s="10"/>
      <c r="H23" s="9"/>
      <c r="I23" s="9"/>
      <c r="J23" s="9"/>
      <c r="K23" s="9"/>
      <c r="L23" s="9"/>
      <c r="M23" s="10"/>
      <c r="N23" s="10"/>
      <c r="O23" s="9"/>
      <c r="P23" s="9"/>
      <c r="Q23" s="9"/>
      <c r="R23" s="9"/>
      <c r="S23" s="9"/>
      <c r="T23" s="10"/>
      <c r="U23" s="10"/>
      <c r="V23" s="9"/>
      <c r="W23" s="9"/>
      <c r="X23" s="9"/>
      <c r="Y23" s="9"/>
      <c r="Z23" s="9"/>
      <c r="AA23" s="10"/>
      <c r="AB23" s="10"/>
      <c r="AC23" s="9"/>
      <c r="AD23" s="9"/>
      <c r="AE23" s="9"/>
      <c r="AF23" s="9"/>
      <c r="AG23" s="11" t="n">
        <f aca="false">(COUNTIF(C23:AF23,"H")*1)+(COUNTIF(C23:AF23,"H1")*0.5)+(COUNTIF(C23:AF23,"H2")*0.5)+(COUNTIF(C23:AF23,"Q")*0.25)+(COUNTIF(C23:AF23,"I")*1)+(COUNTIF(C23:AF23,"S")*0)+(COUNTIF(C23:AF23,"M")*1)+(COUNTIF(C23:AF23,"C")*0)+(COUNTIF(C23:AF23,"V")*1)+(COUNTIF(C23:AF23,"A")*1)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9"/>
      <c r="F24" s="10"/>
      <c r="G24" s="10"/>
      <c r="H24" s="9"/>
      <c r="I24" s="9"/>
      <c r="J24" s="9"/>
      <c r="K24" s="9"/>
      <c r="L24" s="9"/>
      <c r="M24" s="10"/>
      <c r="N24" s="10"/>
      <c r="O24" s="9"/>
      <c r="P24" s="9"/>
      <c r="Q24" s="9"/>
      <c r="R24" s="9"/>
      <c r="S24" s="9"/>
      <c r="T24" s="10"/>
      <c r="U24" s="10"/>
      <c r="V24" s="9"/>
      <c r="W24" s="9"/>
      <c r="X24" s="9"/>
      <c r="Y24" s="9"/>
      <c r="Z24" s="9"/>
      <c r="AA24" s="10"/>
      <c r="AB24" s="10"/>
      <c r="AC24" s="9"/>
      <c r="AD24" s="9"/>
      <c r="AE24" s="9"/>
      <c r="AF24" s="9"/>
      <c r="AG24" s="11" t="n">
        <f aca="false">(COUNTIF(C24:AF24,"H")*1)+(COUNTIF(C24:AF24,"H1")*0.5)+(COUNTIF(C24:AF24,"H2")*0.5)+(COUNTIF(C24:AF24,"Q")*0.25)+(COUNTIF(C24:AF24,"I")*1)+(COUNTIF(C24:AF24,"S")*0)+(COUNTIF(C24:AF24,"M")*1)+(COUNTIF(C24:AF24,"C")*0)+(COUNTIF(C24:AF24,"V")*1)+(COUNTIF(C24:AF24,"A")*1)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9"/>
      <c r="F25" s="10"/>
      <c r="G25" s="10"/>
      <c r="H25" s="9"/>
      <c r="I25" s="9"/>
      <c r="J25" s="9"/>
      <c r="K25" s="9"/>
      <c r="L25" s="9"/>
      <c r="M25" s="10"/>
      <c r="N25" s="10"/>
      <c r="O25" s="9"/>
      <c r="P25" s="9"/>
      <c r="Q25" s="9"/>
      <c r="R25" s="9"/>
      <c r="S25" s="9"/>
      <c r="T25" s="10"/>
      <c r="U25" s="10"/>
      <c r="V25" s="9"/>
      <c r="W25" s="9"/>
      <c r="X25" s="9"/>
      <c r="Y25" s="9"/>
      <c r="Z25" s="9"/>
      <c r="AA25" s="10"/>
      <c r="AB25" s="10"/>
      <c r="AC25" s="9"/>
      <c r="AD25" s="9"/>
      <c r="AE25" s="9"/>
      <c r="AF25" s="9"/>
      <c r="AG25" s="11" t="n">
        <f aca="false">(COUNTIF(C25:AF25,"H")*1)+(COUNTIF(C25:AF25,"H1")*0.5)+(COUNTIF(C25:AF25,"H2")*0.5)+(COUNTIF(C25:AF25,"Q")*0.25)+(COUNTIF(C25:AF25,"I")*1)+(COUNTIF(C25:AF25,"S")*0)+(COUNTIF(C25:AF25,"M")*1)+(COUNTIF(C25:AF25,"C")*0)+(COUNTIF(C25:AF25,"V")*1)+(COUNTIF(C25:AF25,"A")*1)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9"/>
      <c r="F26" s="10"/>
      <c r="G26" s="10"/>
      <c r="H26" s="9"/>
      <c r="I26" s="9"/>
      <c r="J26" s="9"/>
      <c r="K26" s="9"/>
      <c r="L26" s="9"/>
      <c r="M26" s="10"/>
      <c r="N26" s="10"/>
      <c r="O26" s="9"/>
      <c r="P26" s="9"/>
      <c r="Q26" s="9"/>
      <c r="R26" s="9"/>
      <c r="S26" s="9"/>
      <c r="T26" s="10"/>
      <c r="U26" s="10"/>
      <c r="V26" s="9"/>
      <c r="W26" s="9"/>
      <c r="X26" s="9"/>
      <c r="Y26" s="9"/>
      <c r="Z26" s="9"/>
      <c r="AA26" s="10"/>
      <c r="AB26" s="10"/>
      <c r="AC26" s="9"/>
      <c r="AD26" s="9"/>
      <c r="AE26" s="9"/>
      <c r="AF26" s="9"/>
      <c r="AG26" s="11" t="n">
        <f aca="false">(COUNTIF(C26:AF26,"H")*1)+(COUNTIF(C26:AF26,"H1")*0.5)+(COUNTIF(C26:AF26,"H2")*0.5)+(COUNTIF(C26:AF26,"Q")*0.25)+(COUNTIF(C26:AF26,"I")*1)+(COUNTIF(C26:AF26,"S")*0)+(COUNTIF(C26:AF26,"M")*1)+(COUNTIF(C26:AF26,"C")*0)+(COUNTIF(C26:AF26,"V")*1)+(COUNTIF(C26:AF26,"A")*1)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9"/>
      <c r="F27" s="10"/>
      <c r="G27" s="10"/>
      <c r="H27" s="9"/>
      <c r="I27" s="9"/>
      <c r="J27" s="9"/>
      <c r="K27" s="9"/>
      <c r="L27" s="9"/>
      <c r="M27" s="10"/>
      <c r="N27" s="10"/>
      <c r="O27" s="9"/>
      <c r="P27" s="9"/>
      <c r="Q27" s="9"/>
      <c r="R27" s="9"/>
      <c r="S27" s="9"/>
      <c r="T27" s="10"/>
      <c r="U27" s="10"/>
      <c r="V27" s="9"/>
      <c r="W27" s="9"/>
      <c r="X27" s="9"/>
      <c r="Y27" s="9"/>
      <c r="Z27" s="9"/>
      <c r="AA27" s="10"/>
      <c r="AB27" s="10"/>
      <c r="AC27" s="9"/>
      <c r="AD27" s="9"/>
      <c r="AE27" s="9"/>
      <c r="AF27" s="9"/>
      <c r="AG27" s="11" t="n">
        <f aca="false">(COUNTIF(C27:AF27,"H")*1)+(COUNTIF(C27:AF27,"H1")*0.5)+(COUNTIF(C27:AF27,"H2")*0.5)+(COUNTIF(C27:AF27,"Q")*0.25)+(COUNTIF(C27:AF27,"I")*1)+(COUNTIF(C27:AF27,"S")*0)+(COUNTIF(C27:AF27,"M")*1)+(COUNTIF(C27:AF27,"C")*0)+(COUNTIF(C27:AF27,"V")*1)+(COUNTIF(C27:AF27,"A")*1)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9"/>
      <c r="F28" s="10"/>
      <c r="G28" s="10"/>
      <c r="H28" s="9"/>
      <c r="I28" s="9"/>
      <c r="J28" s="9"/>
      <c r="K28" s="9"/>
      <c r="L28" s="9"/>
      <c r="M28" s="10"/>
      <c r="N28" s="10"/>
      <c r="O28" s="9"/>
      <c r="P28" s="9"/>
      <c r="Q28" s="9"/>
      <c r="R28" s="9"/>
      <c r="S28" s="9"/>
      <c r="T28" s="10"/>
      <c r="U28" s="10"/>
      <c r="V28" s="9"/>
      <c r="W28" s="9"/>
      <c r="X28" s="9"/>
      <c r="Y28" s="9"/>
      <c r="Z28" s="9"/>
      <c r="AA28" s="10"/>
      <c r="AB28" s="10"/>
      <c r="AC28" s="9"/>
      <c r="AD28" s="9"/>
      <c r="AE28" s="9"/>
      <c r="AF28" s="9"/>
      <c r="AG28" s="11" t="n">
        <f aca="false">(COUNTIF(C28:AF28,"H")*1)+(COUNTIF(C28:AF28,"H1")*0.5)+(COUNTIF(C28:AF28,"H2")*0.5)+(COUNTIF(C28:AF28,"Q")*0.25)+(COUNTIF(C28:AF28,"I")*1)+(COUNTIF(C28:AF28,"S")*0)+(COUNTIF(C28:AF28,"M")*1)+(COUNTIF(C28:AF28,"C")*0)+(COUNTIF(C28:AF28,"V")*1)+(COUNTIF(C28:AF28,"A")*1)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9"/>
      <c r="F29" s="10"/>
      <c r="G29" s="10"/>
      <c r="H29" s="9"/>
      <c r="I29" s="9"/>
      <c r="J29" s="9"/>
      <c r="K29" s="9"/>
      <c r="L29" s="9"/>
      <c r="M29" s="10"/>
      <c r="N29" s="10"/>
      <c r="O29" s="9"/>
      <c r="P29" s="9"/>
      <c r="Q29" s="9"/>
      <c r="R29" s="9"/>
      <c r="S29" s="9"/>
      <c r="T29" s="10"/>
      <c r="U29" s="10"/>
      <c r="V29" s="9"/>
      <c r="W29" s="9"/>
      <c r="X29" s="9"/>
      <c r="Y29" s="9"/>
      <c r="Z29" s="9"/>
      <c r="AA29" s="10"/>
      <c r="AB29" s="10"/>
      <c r="AC29" s="9"/>
      <c r="AD29" s="9"/>
      <c r="AE29" s="9"/>
      <c r="AF29" s="9"/>
      <c r="AG29" s="11" t="n">
        <f aca="false">(COUNTIF(C29:AF29,"H")*1)+(COUNTIF(C29:AF29,"H1")*0.5)+(COUNTIF(C29:AF29,"H2")*0.5)+(COUNTIF(C29:AF29,"Q")*0.25)+(COUNTIF(C29:AF29,"I")*1)+(COUNTIF(C29:AF29,"S")*0)+(COUNTIF(C29:AF29,"M")*1)+(COUNTIF(C29:AF29,"C")*0)+(COUNTIF(C29:AF29,"V")*1)+(COUNTIF(C29:AF29,"A")*1)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9"/>
      <c r="F30" s="10"/>
      <c r="G30" s="10"/>
      <c r="H30" s="9"/>
      <c r="I30" s="9"/>
      <c r="J30" s="9"/>
      <c r="K30" s="9"/>
      <c r="L30" s="9"/>
      <c r="M30" s="10"/>
      <c r="N30" s="10"/>
      <c r="O30" s="9"/>
      <c r="P30" s="9"/>
      <c r="Q30" s="9"/>
      <c r="R30" s="9"/>
      <c r="S30" s="9"/>
      <c r="T30" s="10"/>
      <c r="U30" s="10"/>
      <c r="V30" s="9"/>
      <c r="W30" s="9"/>
      <c r="X30" s="9"/>
      <c r="Y30" s="9"/>
      <c r="Z30" s="9"/>
      <c r="AA30" s="10"/>
      <c r="AB30" s="10"/>
      <c r="AC30" s="9"/>
      <c r="AD30" s="9"/>
      <c r="AE30" s="9"/>
      <c r="AF30" s="9"/>
      <c r="AG30" s="11" t="n">
        <f aca="false">(COUNTIF(C30:AF30,"H")*1)+(COUNTIF(C30:AF30,"H1")*0.5)+(COUNTIF(C30:AF30,"H2")*0.5)+(COUNTIF(C30:AF30,"Q")*0.25)+(COUNTIF(C30:AF30,"I")*1)+(COUNTIF(C30:AF30,"S")*0)+(COUNTIF(C30:AF30,"M")*1)+(COUNTIF(C30:AF30,"C")*0)+(COUNTIF(C30:AF30,"V")*1)+(COUNTIF(C30:AF30,"A")*1)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9"/>
      <c r="F31" s="10"/>
      <c r="G31" s="10"/>
      <c r="H31" s="9"/>
      <c r="I31" s="9"/>
      <c r="J31" s="9"/>
      <c r="K31" s="9"/>
      <c r="L31" s="9"/>
      <c r="M31" s="10"/>
      <c r="N31" s="10"/>
      <c r="O31" s="9"/>
      <c r="P31" s="9"/>
      <c r="Q31" s="9"/>
      <c r="R31" s="9"/>
      <c r="S31" s="9"/>
      <c r="T31" s="10"/>
      <c r="U31" s="10"/>
      <c r="V31" s="9"/>
      <c r="W31" s="9"/>
      <c r="X31" s="9"/>
      <c r="Y31" s="9"/>
      <c r="Z31" s="9"/>
      <c r="AA31" s="10"/>
      <c r="AB31" s="10"/>
      <c r="AC31" s="9"/>
      <c r="AD31" s="9"/>
      <c r="AE31" s="9"/>
      <c r="AF31" s="9"/>
      <c r="AG31" s="11" t="n">
        <f aca="false">(COUNTIF(C31:AF31,"H")*1)+(COUNTIF(C31:AF31,"H1")*0.5)+(COUNTIF(C31:AF31,"H2")*0.5)+(COUNTIF(C31:AF31,"Q")*0.25)+(COUNTIF(C31:AF31,"I")*1)+(COUNTIF(C31:AF31,"S")*0)+(COUNTIF(C31:AF31,"M")*1)+(COUNTIF(C31:AF31,"C")*0)+(COUNTIF(C31:AF31,"V")*1)+(COUNTIF(C31:AF31,"A")*1)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9"/>
      <c r="F32" s="10"/>
      <c r="G32" s="10"/>
      <c r="H32" s="9"/>
      <c r="I32" s="9"/>
      <c r="J32" s="9"/>
      <c r="K32" s="9"/>
      <c r="L32" s="9"/>
      <c r="M32" s="10"/>
      <c r="N32" s="10"/>
      <c r="O32" s="9"/>
      <c r="P32" s="9"/>
      <c r="Q32" s="9"/>
      <c r="R32" s="9"/>
      <c r="S32" s="9"/>
      <c r="T32" s="10"/>
      <c r="U32" s="10"/>
      <c r="V32" s="9"/>
      <c r="W32" s="9"/>
      <c r="X32" s="9"/>
      <c r="Y32" s="9"/>
      <c r="Z32" s="9"/>
      <c r="AA32" s="10"/>
      <c r="AB32" s="10"/>
      <c r="AC32" s="9"/>
      <c r="AD32" s="9"/>
      <c r="AE32" s="9"/>
      <c r="AF32" s="9"/>
      <c r="AG32" s="11" t="n">
        <f aca="false">(COUNTIF(C32:AF32,"H")*1)+(COUNTIF(C32:AF32,"H1")*0.5)+(COUNTIF(C32:AF32,"H2")*0.5)+(COUNTIF(C32:AF32,"Q")*0.25)+(COUNTIF(C32:AF32,"I")*1)+(COUNTIF(C32:AF32,"S")*0)+(COUNTIF(C32:AF32,"M")*1)+(COUNTIF(C32:AF32,"C")*0)+(COUNTIF(C32:AF32,"V")*1)+(COUNTIF(C32:AF32,"A")*1)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9"/>
      <c r="F33" s="10"/>
      <c r="G33" s="10"/>
      <c r="H33" s="9"/>
      <c r="I33" s="9"/>
      <c r="J33" s="9"/>
      <c r="K33" s="9"/>
      <c r="L33" s="9"/>
      <c r="M33" s="10"/>
      <c r="N33" s="10"/>
      <c r="O33" s="9"/>
      <c r="P33" s="9"/>
      <c r="Q33" s="9"/>
      <c r="R33" s="9"/>
      <c r="S33" s="9"/>
      <c r="T33" s="10"/>
      <c r="U33" s="10"/>
      <c r="V33" s="9"/>
      <c r="W33" s="9"/>
      <c r="X33" s="9"/>
      <c r="Y33" s="9"/>
      <c r="Z33" s="9"/>
      <c r="AA33" s="10"/>
      <c r="AB33" s="10"/>
      <c r="AC33" s="9"/>
      <c r="AD33" s="9"/>
      <c r="AE33" s="9"/>
      <c r="AF33" s="9"/>
      <c r="AG33" s="11" t="n">
        <f aca="false">(COUNTIF(C33:AF33,"H")*1)+(COUNTIF(C33:AF33,"H1")*0.5)+(COUNTIF(C33:AF33,"H2")*0.5)+(COUNTIF(C33:AF33,"Q")*0.25)+(COUNTIF(C33:AF33,"I")*1)+(COUNTIF(C33:AF33,"S")*0)+(COUNTIF(C33:AF33,"M")*1)+(COUNTIF(C33:AF33,"C")*0)+(COUNTIF(C33:AF33,"V")*1)+(COUNTIF(C33:AF33,"A")*1)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9"/>
      <c r="F34" s="10"/>
      <c r="G34" s="10"/>
      <c r="H34" s="9"/>
      <c r="I34" s="9"/>
      <c r="J34" s="9"/>
      <c r="K34" s="9"/>
      <c r="L34" s="9"/>
      <c r="M34" s="10"/>
      <c r="N34" s="10"/>
      <c r="O34" s="9"/>
      <c r="P34" s="9"/>
      <c r="Q34" s="9"/>
      <c r="R34" s="9"/>
      <c r="S34" s="9"/>
      <c r="T34" s="10"/>
      <c r="U34" s="10"/>
      <c r="V34" s="9"/>
      <c r="W34" s="9"/>
      <c r="X34" s="9"/>
      <c r="Y34" s="9"/>
      <c r="Z34" s="9"/>
      <c r="AA34" s="10"/>
      <c r="AB34" s="10"/>
      <c r="AC34" s="9"/>
      <c r="AD34" s="9"/>
      <c r="AE34" s="9"/>
      <c r="AF34" s="9"/>
      <c r="AG34" s="11" t="n">
        <f aca="false">(COUNTIF(C34:AF34,"H")*1)+(COUNTIF(C34:AF34,"H1")*0.5)+(COUNTIF(C34:AF34,"H2")*0.5)+(COUNTIF(C34:AF34,"Q")*0.25)+(COUNTIF(C34:AF34,"I")*1)+(COUNTIF(C34:AF34,"S")*0)+(COUNTIF(C34:AF34,"M")*1)+(COUNTIF(C34:AF34,"C")*0)+(COUNTIF(C34:AF34,"V")*1)+(COUNTIF(C34:AF34,"A")*1)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9"/>
      <c r="F35" s="10"/>
      <c r="G35" s="10"/>
      <c r="H35" s="9"/>
      <c r="I35" s="9"/>
      <c r="J35" s="9"/>
      <c r="K35" s="9"/>
      <c r="L35" s="9"/>
      <c r="M35" s="10"/>
      <c r="N35" s="10"/>
      <c r="O35" s="9"/>
      <c r="P35" s="9"/>
      <c r="Q35" s="9"/>
      <c r="R35" s="9"/>
      <c r="S35" s="9"/>
      <c r="T35" s="10"/>
      <c r="U35" s="10"/>
      <c r="V35" s="9"/>
      <c r="W35" s="9"/>
      <c r="X35" s="9"/>
      <c r="Y35" s="9"/>
      <c r="Z35" s="9"/>
      <c r="AA35" s="10"/>
      <c r="AB35" s="10"/>
      <c r="AC35" s="9"/>
      <c r="AD35" s="9"/>
      <c r="AE35" s="9"/>
      <c r="AF35" s="9"/>
      <c r="AG35" s="11" t="n">
        <f aca="false">(COUNTIF(C35:AF35,"H")*1)+(COUNTIF(C35:AF35,"H1")*0.5)+(COUNTIF(C35:AF35,"H2")*0.5)+(COUNTIF(C35:AF35,"Q")*0.25)+(COUNTIF(C35:AF35,"I")*1)+(COUNTIF(C35:AF35,"S")*0)+(COUNTIF(C35:AF35,"M")*1)+(COUNTIF(C35:AF35,"C")*0)+(COUNTIF(C35:AF35,"V")*1)+(COUNTIF(C35:AF35,"A")*1)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9"/>
      <c r="F36" s="10"/>
      <c r="G36" s="10"/>
      <c r="H36" s="9"/>
      <c r="I36" s="9"/>
      <c r="J36" s="9"/>
      <c r="K36" s="9"/>
      <c r="L36" s="9"/>
      <c r="M36" s="10"/>
      <c r="N36" s="10"/>
      <c r="O36" s="9"/>
      <c r="P36" s="9"/>
      <c r="Q36" s="9"/>
      <c r="R36" s="9"/>
      <c r="S36" s="9"/>
      <c r="T36" s="10"/>
      <c r="U36" s="10"/>
      <c r="V36" s="9"/>
      <c r="W36" s="9"/>
      <c r="X36" s="9"/>
      <c r="Y36" s="9"/>
      <c r="Z36" s="9"/>
      <c r="AA36" s="10"/>
      <c r="AB36" s="10"/>
      <c r="AC36" s="9"/>
      <c r="AD36" s="9"/>
      <c r="AE36" s="9"/>
      <c r="AF36" s="9"/>
      <c r="AG36" s="11" t="n">
        <f aca="false">(COUNTIF(C36:AF36,"H")*1)+(COUNTIF(C36:AF36,"H1")*0.5)+(COUNTIF(C36:AF36,"H2")*0.5)+(COUNTIF(C36:AF36,"Q")*0.25)+(COUNTIF(C36:AF36,"I")*1)+(COUNTIF(C36:AF36,"S")*0)+(COUNTIF(C36:AF36,"M")*1)+(COUNTIF(C36:AF36,"C")*0)+(COUNTIF(C36:AF36,"V")*1)+(COUNTIF(C36:AF36,"A")*1)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9"/>
      <c r="F37" s="10"/>
      <c r="G37" s="10"/>
      <c r="H37" s="9"/>
      <c r="I37" s="9"/>
      <c r="J37" s="9"/>
      <c r="K37" s="9"/>
      <c r="L37" s="9"/>
      <c r="M37" s="10"/>
      <c r="N37" s="10"/>
      <c r="O37" s="9"/>
      <c r="P37" s="9"/>
      <c r="Q37" s="9"/>
      <c r="R37" s="9"/>
      <c r="S37" s="9"/>
      <c r="T37" s="10"/>
      <c r="U37" s="10"/>
      <c r="V37" s="9"/>
      <c r="W37" s="9"/>
      <c r="X37" s="9"/>
      <c r="Y37" s="9"/>
      <c r="Z37" s="9"/>
      <c r="AA37" s="10"/>
      <c r="AB37" s="10"/>
      <c r="AC37" s="9"/>
      <c r="AD37" s="9"/>
      <c r="AE37" s="9"/>
      <c r="AF37" s="9"/>
      <c r="AG37" s="11" t="n">
        <f aca="false">(COUNTIF(C37:AF37,"H")*1)+(COUNTIF(C37:AF37,"H1")*0.5)+(COUNTIF(C37:AF37,"H2")*0.5)+(COUNTIF(C37:AF37,"Q")*0.25)+(COUNTIF(C37:AF37,"I")*1)+(COUNTIF(C37:AF37,"S")*0)+(COUNTIF(C37:AF37,"M")*1)+(COUNTIF(C37:AF37,"C")*0)+(COUNTIF(C37:AF37,"V")*1)+(COUNTIF(C37:AF37,"A")*1)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9"/>
      <c r="F38" s="10"/>
      <c r="G38" s="10"/>
      <c r="H38" s="9"/>
      <c r="I38" s="9"/>
      <c r="J38" s="9"/>
      <c r="K38" s="9"/>
      <c r="L38" s="9"/>
      <c r="M38" s="10"/>
      <c r="N38" s="10"/>
      <c r="O38" s="9"/>
      <c r="P38" s="9"/>
      <c r="Q38" s="9"/>
      <c r="R38" s="9"/>
      <c r="S38" s="9"/>
      <c r="T38" s="10"/>
      <c r="U38" s="10"/>
      <c r="V38" s="9"/>
      <c r="W38" s="9"/>
      <c r="X38" s="9"/>
      <c r="Y38" s="9"/>
      <c r="Z38" s="9"/>
      <c r="AA38" s="10"/>
      <c r="AB38" s="10"/>
      <c r="AC38" s="9"/>
      <c r="AD38" s="9"/>
      <c r="AE38" s="9"/>
      <c r="AF38" s="9"/>
      <c r="AG38" s="11" t="n">
        <f aca="false">(COUNTIF(C38:AF38,"H")*1)+(COUNTIF(C38:AF38,"H1")*0.5)+(COUNTIF(C38:AF38,"H2")*0.5)+(COUNTIF(C38:AF38,"Q")*0.25)+(COUNTIF(C38:AF38,"I")*1)+(COUNTIF(C38:AF38,"S")*0)+(COUNTIF(C38:AF38,"M")*1)+(COUNTIF(C38:AF38,"C")*0)+(COUNTIF(C38:AF38,"V")*1)+(COUNTIF(C38:AF38,"A")*1)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9"/>
      <c r="F39" s="10"/>
      <c r="G39" s="10"/>
      <c r="H39" s="9"/>
      <c r="I39" s="9"/>
      <c r="J39" s="9"/>
      <c r="K39" s="9"/>
      <c r="L39" s="9"/>
      <c r="M39" s="10"/>
      <c r="N39" s="10"/>
      <c r="O39" s="9"/>
      <c r="P39" s="9"/>
      <c r="Q39" s="9"/>
      <c r="R39" s="9"/>
      <c r="S39" s="9"/>
      <c r="T39" s="10"/>
      <c r="U39" s="10"/>
      <c r="V39" s="9"/>
      <c r="W39" s="9"/>
      <c r="X39" s="9"/>
      <c r="Y39" s="9"/>
      <c r="Z39" s="9"/>
      <c r="AA39" s="10"/>
      <c r="AB39" s="10"/>
      <c r="AC39" s="9"/>
      <c r="AD39" s="9"/>
      <c r="AE39" s="9"/>
      <c r="AF39" s="9"/>
      <c r="AG39" s="11" t="n">
        <f aca="false">(COUNTIF(C39:AF39,"H")*1)+(COUNTIF(C39:AF39,"H1")*0.5)+(COUNTIF(C39:AF39,"H2")*0.5)+(COUNTIF(C39:AF39,"Q")*0.25)+(COUNTIF(C39:AF39,"I")*1)+(COUNTIF(C39:AF39,"S")*0)+(COUNTIF(C39:AF39,"M")*1)+(COUNTIF(C39:AF39,"C")*0)+(COUNTIF(C39:AF39,"V")*1)+(COUNTIF(C39:AF39,"A")*1)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9"/>
      <c r="F40" s="10"/>
      <c r="G40" s="10"/>
      <c r="H40" s="9"/>
      <c r="I40" s="9"/>
      <c r="J40" s="9"/>
      <c r="K40" s="9"/>
      <c r="L40" s="9"/>
      <c r="M40" s="10"/>
      <c r="N40" s="10"/>
      <c r="O40" s="9"/>
      <c r="P40" s="9"/>
      <c r="Q40" s="9"/>
      <c r="R40" s="9"/>
      <c r="S40" s="9"/>
      <c r="T40" s="10"/>
      <c r="U40" s="10"/>
      <c r="V40" s="9"/>
      <c r="W40" s="9"/>
      <c r="X40" s="9"/>
      <c r="Y40" s="9"/>
      <c r="Z40" s="9"/>
      <c r="AA40" s="10"/>
      <c r="AB40" s="10"/>
      <c r="AC40" s="9"/>
      <c r="AD40" s="9"/>
      <c r="AE40" s="9"/>
      <c r="AF40" s="9"/>
      <c r="AG40" s="11" t="n">
        <f aca="false">(COUNTIF(C40:AF40,"H")*1)+(COUNTIF(C40:AF40,"H1")*0.5)+(COUNTIF(C40:AF40,"H2")*0.5)+(COUNTIF(C40:AF40,"Q")*0.25)+(COUNTIF(C40:AF40,"I")*1)+(COUNTIF(C40:AF40,"S")*0)+(COUNTIF(C40:AF40,"M")*1)+(COUNTIF(C40:AF40,"C")*0)+(COUNTIF(C40:AF40,"V")*1)+(COUNTIF(C40:AF40,"A")*1)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9"/>
      <c r="F41" s="10"/>
      <c r="G41" s="10"/>
      <c r="H41" s="9"/>
      <c r="I41" s="9"/>
      <c r="J41" s="9"/>
      <c r="K41" s="9"/>
      <c r="L41" s="9"/>
      <c r="M41" s="10"/>
      <c r="N41" s="10"/>
      <c r="O41" s="9"/>
      <c r="P41" s="9"/>
      <c r="Q41" s="9"/>
      <c r="R41" s="9"/>
      <c r="S41" s="9"/>
      <c r="T41" s="10"/>
      <c r="U41" s="10"/>
      <c r="V41" s="9"/>
      <c r="W41" s="9"/>
      <c r="X41" s="9"/>
      <c r="Y41" s="9"/>
      <c r="Z41" s="9"/>
      <c r="AA41" s="10"/>
      <c r="AB41" s="10"/>
      <c r="AC41" s="9"/>
      <c r="AD41" s="9"/>
      <c r="AE41" s="9"/>
      <c r="AF41" s="9"/>
      <c r="AG41" s="11" t="n">
        <f aca="false">(COUNTIF(C41:AF41,"H")*1)+(COUNTIF(C41:AF41,"H1")*0.5)+(COUNTIF(C41:AF41,"H2")*0.5)+(COUNTIF(C41:AF41,"Q")*0.25)+(COUNTIF(C41:AF41,"I")*1)+(COUNTIF(C41:AF41,"S")*0)+(COUNTIF(C41:AF41,"M")*1)+(COUNTIF(C41:AF41,"C")*0)+(COUNTIF(C41:AF41,"V")*1)+(COUNTIF(C41:AF41,"A")*1)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9"/>
      <c r="F42" s="10"/>
      <c r="G42" s="10"/>
      <c r="H42" s="9"/>
      <c r="I42" s="9"/>
      <c r="J42" s="9"/>
      <c r="K42" s="9"/>
      <c r="L42" s="9"/>
      <c r="M42" s="10"/>
      <c r="N42" s="10"/>
      <c r="O42" s="9"/>
      <c r="P42" s="9"/>
      <c r="Q42" s="9"/>
      <c r="R42" s="9"/>
      <c r="S42" s="9"/>
      <c r="T42" s="10"/>
      <c r="U42" s="10"/>
      <c r="V42" s="9"/>
      <c r="W42" s="9"/>
      <c r="X42" s="9"/>
      <c r="Y42" s="9"/>
      <c r="Z42" s="9"/>
      <c r="AA42" s="10"/>
      <c r="AB42" s="10"/>
      <c r="AC42" s="9"/>
      <c r="AD42" s="9"/>
      <c r="AE42" s="9"/>
      <c r="AF42" s="9"/>
      <c r="AG42" s="11" t="n">
        <f aca="false">(COUNTIF(C42:AF42,"H")*1)+(COUNTIF(C42:AF42,"H1")*0.5)+(COUNTIF(C42:AF42,"H2")*0.5)+(COUNTIF(C42:AF42,"Q")*0.25)+(COUNTIF(C42:AF42,"I")*1)+(COUNTIF(C42:AF42,"S")*0)+(COUNTIF(C42:AF42,"M")*1)+(COUNTIF(C42:AF42,"C")*0)+(COUNTIF(C42:AF42,"V")*1)+(COUNTIF(C42:AF42,"A")*1)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9"/>
      <c r="F43" s="10"/>
      <c r="G43" s="10"/>
      <c r="H43" s="9"/>
      <c r="I43" s="9"/>
      <c r="J43" s="9"/>
      <c r="K43" s="9"/>
      <c r="L43" s="9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11" t="n">
        <f aca="false">(COUNTIF(C43:AF43,"H")*1)+(COUNTIF(C43:AF43,"H1")*0.5)+(COUNTIF(C43:AF43,"H2")*0.5)+(COUNTIF(C43:AF43,"Q")*0.25)+(COUNTIF(C43:AF43,"I")*1)+(COUNTIF(C43:AF43,"S")*0)+(COUNTIF(C43:AF43,"M")*1)+(COUNTIF(C43:AF43,"C")*0)+(COUNTIF(C43:AF43,"V")*1)+(COUNTIF(C43:AF43,"A")*1)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9"/>
      <c r="F44" s="10"/>
      <c r="G44" s="10"/>
      <c r="H44" s="9"/>
      <c r="I44" s="9"/>
      <c r="J44" s="9"/>
      <c r="K44" s="9"/>
      <c r="L44" s="9"/>
      <c r="M44" s="10"/>
      <c r="N44" s="10"/>
      <c r="O44" s="9"/>
      <c r="P44" s="9"/>
      <c r="Q44" s="9"/>
      <c r="R44" s="9"/>
      <c r="S44" s="9"/>
      <c r="T44" s="10"/>
      <c r="U44" s="10"/>
      <c r="V44" s="9"/>
      <c r="W44" s="9"/>
      <c r="X44" s="9"/>
      <c r="Y44" s="9"/>
      <c r="Z44" s="9"/>
      <c r="AA44" s="10"/>
      <c r="AB44" s="10"/>
      <c r="AC44" s="9"/>
      <c r="AD44" s="9"/>
      <c r="AE44" s="9"/>
      <c r="AF44" s="9"/>
      <c r="AG44" s="11" t="n">
        <f aca="false">(COUNTIF(C44:AF44,"H")*1)+(COUNTIF(C44:AF44,"H1")*0.5)+(COUNTIF(C44:AF44,"H2")*0.5)+(COUNTIF(C44:AF44,"Q")*0.25)+(COUNTIF(C44:AF44,"I")*1)+(COUNTIF(C44:AF44,"S")*0)+(COUNTIF(C44:AF44,"M")*1)+(COUNTIF(C44:AF44,"C")*0)+(COUNTIF(C44:AF44,"V")*1)+(COUNTIF(C44:AF44,"A")*1)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9"/>
      <c r="F45" s="10"/>
      <c r="G45" s="10"/>
      <c r="H45" s="9"/>
      <c r="I45" s="9"/>
      <c r="J45" s="9"/>
      <c r="K45" s="9"/>
      <c r="L45" s="9"/>
      <c r="M45" s="10"/>
      <c r="N45" s="10"/>
      <c r="O45" s="9"/>
      <c r="P45" s="9"/>
      <c r="Q45" s="9"/>
      <c r="R45" s="9"/>
      <c r="S45" s="9"/>
      <c r="T45" s="10"/>
      <c r="U45" s="10"/>
      <c r="V45" s="9"/>
      <c r="W45" s="9"/>
      <c r="X45" s="9"/>
      <c r="Y45" s="9"/>
      <c r="Z45" s="9"/>
      <c r="AA45" s="10"/>
      <c r="AB45" s="10"/>
      <c r="AC45" s="9"/>
      <c r="AD45" s="9"/>
      <c r="AE45" s="9"/>
      <c r="AF45" s="9"/>
      <c r="AG45" s="11" t="n">
        <f aca="false">(COUNTIF(C45:AF45,"H")*1)+(COUNTIF(C45:AF45,"H1")*0.5)+(COUNTIF(C45:AF45,"H2")*0.5)+(COUNTIF(C45:AF45,"Q")*0.25)+(COUNTIF(C45:AF45,"I")*1)+(COUNTIF(C45:AF45,"S")*0)+(COUNTIF(C45:AF45,"M")*1)+(COUNTIF(C45:AF45,"C")*0)+(COUNTIF(C45:AF45,"V")*1)+(COUNTIF(C45:AF45,"A")*1)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9"/>
      <c r="F46" s="10"/>
      <c r="G46" s="10"/>
      <c r="H46" s="9"/>
      <c r="I46" s="9"/>
      <c r="J46" s="9"/>
      <c r="K46" s="9"/>
      <c r="L46" s="9"/>
      <c r="M46" s="10"/>
      <c r="N46" s="10"/>
      <c r="O46" s="9"/>
      <c r="P46" s="9"/>
      <c r="Q46" s="9"/>
      <c r="R46" s="9"/>
      <c r="S46" s="9"/>
      <c r="T46" s="10"/>
      <c r="U46" s="10"/>
      <c r="V46" s="9"/>
      <c r="W46" s="9"/>
      <c r="X46" s="9"/>
      <c r="Y46" s="9"/>
      <c r="Z46" s="9"/>
      <c r="AA46" s="10"/>
      <c r="AB46" s="10"/>
      <c r="AC46" s="9"/>
      <c r="AD46" s="9"/>
      <c r="AE46" s="9"/>
      <c r="AF46" s="9"/>
      <c r="AG46" s="11" t="n">
        <f aca="false">(COUNTIF(C46:AF46,"H")*1)+(COUNTIF(C46:AF46,"H1")*0.5)+(COUNTIF(C46:AF46,"H2")*0.5)+(COUNTIF(C46:AF46,"Q")*0.25)+(COUNTIF(C46:AF46,"I")*1)+(COUNTIF(C46:AF46,"S")*0)+(COUNTIF(C46:AF46,"M")*1)+(COUNTIF(C46:AF46,"C")*0)+(COUNTIF(C46:AF46,"V")*1)+(COUNTIF(C46:AF46,"A")*1)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9"/>
      <c r="F47" s="10"/>
      <c r="G47" s="10"/>
      <c r="H47" s="9"/>
      <c r="I47" s="9"/>
      <c r="J47" s="9"/>
      <c r="K47" s="9"/>
      <c r="L47" s="9"/>
      <c r="M47" s="10"/>
      <c r="N47" s="10"/>
      <c r="O47" s="9"/>
      <c r="P47" s="9"/>
      <c r="Q47" s="9"/>
      <c r="R47" s="9"/>
      <c r="S47" s="9"/>
      <c r="T47" s="10"/>
      <c r="U47" s="10"/>
      <c r="V47" s="9"/>
      <c r="W47" s="9"/>
      <c r="X47" s="9"/>
      <c r="Y47" s="9"/>
      <c r="Z47" s="9"/>
      <c r="AA47" s="10"/>
      <c r="AB47" s="10"/>
      <c r="AC47" s="9"/>
      <c r="AD47" s="9"/>
      <c r="AE47" s="9"/>
      <c r="AF47" s="9"/>
      <c r="AG47" s="11" t="n">
        <f aca="false">(COUNTIF(C47:AF47,"H")*1)+(COUNTIF(C47:AF47,"H1")*0.5)+(COUNTIF(C47:AF47,"H2")*0.5)+(COUNTIF(C47:AF47,"Q")*0.25)+(COUNTIF(C47:AF47,"I")*1)+(COUNTIF(C47:AF47,"S")*0)+(COUNTIF(C47:AF47,"M")*1)+(COUNTIF(C47:AF47,"C")*0)+(COUNTIF(C47:AF47,"V")*1)+(COUNTIF(C47:AF47,"A")*1)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9"/>
      <c r="F48" s="10"/>
      <c r="G48" s="10"/>
      <c r="H48" s="9"/>
      <c r="I48" s="9"/>
      <c r="J48" s="9"/>
      <c r="K48" s="9"/>
      <c r="L48" s="9"/>
      <c r="M48" s="10"/>
      <c r="N48" s="10"/>
      <c r="O48" s="9"/>
      <c r="P48" s="9"/>
      <c r="Q48" s="9"/>
      <c r="R48" s="9"/>
      <c r="S48" s="9"/>
      <c r="T48" s="10"/>
      <c r="U48" s="10"/>
      <c r="V48" s="9"/>
      <c r="W48" s="9"/>
      <c r="X48" s="9"/>
      <c r="Y48" s="9"/>
      <c r="Z48" s="9"/>
      <c r="AA48" s="10"/>
      <c r="AB48" s="10"/>
      <c r="AC48" s="9"/>
      <c r="AD48" s="9"/>
      <c r="AE48" s="9"/>
      <c r="AF48" s="9"/>
      <c r="AG48" s="11" t="n">
        <f aca="false">(COUNTIF(C48:AF48,"H")*1)+(COUNTIF(C48:AF48,"H1")*0.5)+(COUNTIF(C48:AF48,"H2")*0.5)+(COUNTIF(C48:AF48,"Q")*0.25)+(COUNTIF(C48:AF48,"I")*1)+(COUNTIF(C48:AF48,"S")*0)+(COUNTIF(C48:AF48,"M")*1)+(COUNTIF(C48:AF48,"C")*0)+(COUNTIF(C48:AF48,"V")*1)+(COUNTIF(C48:AF48,"A")*1)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9"/>
      <c r="F49" s="10"/>
      <c r="G49" s="10"/>
      <c r="H49" s="9"/>
      <c r="I49" s="9"/>
      <c r="J49" s="9"/>
      <c r="K49" s="9"/>
      <c r="L49" s="9"/>
      <c r="M49" s="10"/>
      <c r="N49" s="10"/>
      <c r="O49" s="9"/>
      <c r="P49" s="9"/>
      <c r="Q49" s="9"/>
      <c r="R49" s="9"/>
      <c r="S49" s="9"/>
      <c r="T49" s="10"/>
      <c r="U49" s="10"/>
      <c r="V49" s="9"/>
      <c r="W49" s="9"/>
      <c r="X49" s="9"/>
      <c r="Y49" s="9"/>
      <c r="Z49" s="9"/>
      <c r="AA49" s="10"/>
      <c r="AB49" s="10"/>
      <c r="AC49" s="9"/>
      <c r="AD49" s="9"/>
      <c r="AE49" s="9"/>
      <c r="AF49" s="9"/>
      <c r="AG49" s="11" t="n">
        <f aca="false">(COUNTIF(C49:AF49,"H")*1)+(COUNTIF(C49:AF49,"H1")*0.5)+(COUNTIF(C49:AF49,"H2")*0.5)+(COUNTIF(C49:AF49,"Q")*0.25)+(COUNTIF(C49:AF49,"I")*1)+(COUNTIF(C49:AF49,"S")*0)+(COUNTIF(C49:AF49,"M")*1)+(COUNTIF(C49:AF49,"C")*0)+(COUNTIF(C49:AF49,"V")*1)+(COUNTIF(C49:AF49,"A")*1)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9"/>
      <c r="F50" s="10"/>
      <c r="G50" s="10"/>
      <c r="H50" s="9"/>
      <c r="I50" s="9"/>
      <c r="J50" s="9"/>
      <c r="K50" s="9"/>
      <c r="L50" s="9"/>
      <c r="M50" s="10"/>
      <c r="N50" s="10"/>
      <c r="O50" s="9"/>
      <c r="P50" s="9"/>
      <c r="Q50" s="9"/>
      <c r="R50" s="9"/>
      <c r="S50" s="9"/>
      <c r="T50" s="10"/>
      <c r="U50" s="10"/>
      <c r="V50" s="9"/>
      <c r="W50" s="9"/>
      <c r="X50" s="9"/>
      <c r="Y50" s="9"/>
      <c r="Z50" s="9"/>
      <c r="AA50" s="10"/>
      <c r="AB50" s="10"/>
      <c r="AC50" s="9"/>
      <c r="AD50" s="9"/>
      <c r="AE50" s="9"/>
      <c r="AF50" s="9"/>
      <c r="AG50" s="11" t="n">
        <f aca="false">(COUNTIF(C50:AF50,"H")*1)+(COUNTIF(C50:AF50,"H1")*0.5)+(COUNTIF(C50:AF50,"H2")*0.5)+(COUNTIF(C50:AF50,"Q")*0.25)+(COUNTIF(C50:AF50,"I")*1)+(COUNTIF(C50:AF50,"S")*0)+(COUNTIF(C50:AF50,"M")*1)+(COUNTIF(C50:AF50,"C")*0)+(COUNTIF(C50:AF50,"V")*1)+(COUNTIF(C50:AF50,"A")*1)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9"/>
      <c r="F51" s="10"/>
      <c r="G51" s="10"/>
      <c r="H51" s="9"/>
      <c r="I51" s="9"/>
      <c r="J51" s="9"/>
      <c r="K51" s="9"/>
      <c r="L51" s="9"/>
      <c r="M51" s="10"/>
      <c r="N51" s="10"/>
      <c r="O51" s="9"/>
      <c r="P51" s="9"/>
      <c r="Q51" s="9"/>
      <c r="R51" s="9"/>
      <c r="S51" s="9"/>
      <c r="T51" s="10"/>
      <c r="U51" s="10"/>
      <c r="V51" s="9"/>
      <c r="W51" s="9"/>
      <c r="X51" s="9"/>
      <c r="Y51" s="9"/>
      <c r="Z51" s="9"/>
      <c r="AA51" s="10"/>
      <c r="AB51" s="10"/>
      <c r="AC51" s="9"/>
      <c r="AD51" s="9"/>
      <c r="AE51" s="9"/>
      <c r="AF51" s="9"/>
      <c r="AG51" s="11" t="n">
        <f aca="false">(COUNTIF(C51:AF51,"H")*1)+(COUNTIF(C51:AF51,"H1")*0.5)+(COUNTIF(C51:AF51,"H2")*0.5)+(COUNTIF(C51:AF51,"Q")*0.25)+(COUNTIF(C51:AF51,"I")*1)+(COUNTIF(C51:AF51,"S")*0)+(COUNTIF(C51:AF51,"M")*1)+(COUNTIF(C51:AF51,"C")*0)+(COUNTIF(C51:AF51,"V")*1)+(COUNTIF(C51:AF51,"A")*1)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9"/>
      <c r="F52" s="10"/>
      <c r="G52" s="10"/>
      <c r="H52" s="9"/>
      <c r="I52" s="9"/>
      <c r="J52" s="9"/>
      <c r="K52" s="9"/>
      <c r="L52" s="9"/>
      <c r="M52" s="10"/>
      <c r="N52" s="10"/>
      <c r="O52" s="9"/>
      <c r="P52" s="9"/>
      <c r="Q52" s="9"/>
      <c r="R52" s="9"/>
      <c r="S52" s="9"/>
      <c r="T52" s="10"/>
      <c r="U52" s="10"/>
      <c r="V52" s="9"/>
      <c r="W52" s="9"/>
      <c r="X52" s="9"/>
      <c r="Y52" s="9"/>
      <c r="Z52" s="9"/>
      <c r="AA52" s="10"/>
      <c r="AB52" s="10"/>
      <c r="AC52" s="9"/>
      <c r="AD52" s="9"/>
      <c r="AE52" s="9"/>
      <c r="AF52" s="9"/>
      <c r="AG52" s="11" t="n">
        <f aca="false">(COUNTIF(C52:AF52,"H")*1)+(COUNTIF(C52:AF52,"H1")*0.5)+(COUNTIF(C52:AF52,"H2")*0.5)+(COUNTIF(C52:AF52,"Q")*0.25)+(COUNTIF(C52:AF52,"I")*1)+(COUNTIF(C52:AF52,"S")*0)+(COUNTIF(C52:AF52,"M")*1)+(COUNTIF(C52:AF52,"C")*0)+(COUNTIF(C52:AF52,"V")*1)+(COUNTIF(C52:AF52,"A")*1)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9"/>
      <c r="F53" s="10"/>
      <c r="G53" s="10"/>
      <c r="H53" s="9"/>
      <c r="I53" s="9"/>
      <c r="J53" s="9"/>
      <c r="K53" s="9"/>
      <c r="L53" s="9"/>
      <c r="M53" s="10"/>
      <c r="N53" s="10"/>
      <c r="O53" s="9"/>
      <c r="P53" s="9"/>
      <c r="Q53" s="9"/>
      <c r="R53" s="9"/>
      <c r="S53" s="9"/>
      <c r="T53" s="10"/>
      <c r="U53" s="10"/>
      <c r="V53" s="9"/>
      <c r="W53" s="9"/>
      <c r="X53" s="9"/>
      <c r="Y53" s="9"/>
      <c r="Z53" s="9"/>
      <c r="AA53" s="10"/>
      <c r="AB53" s="10"/>
      <c r="AC53" s="9"/>
      <c r="AD53" s="9"/>
      <c r="AE53" s="9"/>
      <c r="AF53" s="9"/>
      <c r="AG53" s="11" t="n">
        <f aca="false">(COUNTIF(C53:AF53,"H")*1)+(COUNTIF(C53:AF53,"H1")*0.5)+(COUNTIF(C53:AF53,"H2")*0.5)+(COUNTIF(C53:AF53,"Q")*0.25)+(COUNTIF(C53:AF53,"I")*1)+(COUNTIF(C53:AF53,"S")*0)+(COUNTIF(C53:AF53,"M")*1)+(COUNTIF(C53:AF53,"C")*0)+(COUNTIF(C53:AF53,"V")*1)+(COUNTIF(C53:AF53,"A")*1)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9"/>
      <c r="F54" s="10"/>
      <c r="G54" s="10"/>
      <c r="H54" s="9"/>
      <c r="I54" s="9"/>
      <c r="J54" s="9"/>
      <c r="K54" s="9"/>
      <c r="L54" s="9"/>
      <c r="M54" s="10"/>
      <c r="N54" s="10"/>
      <c r="O54" s="9"/>
      <c r="P54" s="9"/>
      <c r="Q54" s="9"/>
      <c r="R54" s="9"/>
      <c r="S54" s="9"/>
      <c r="T54" s="10"/>
      <c r="U54" s="10"/>
      <c r="V54" s="9"/>
      <c r="W54" s="9"/>
      <c r="X54" s="9"/>
      <c r="Y54" s="9"/>
      <c r="Z54" s="9"/>
      <c r="AA54" s="10"/>
      <c r="AB54" s="10"/>
      <c r="AC54" s="9"/>
      <c r="AD54" s="9"/>
      <c r="AE54" s="9"/>
      <c r="AF54" s="9"/>
      <c r="AG54" s="11" t="n">
        <f aca="false">(COUNTIF(C54:AF54,"H")*1)+(COUNTIF(C54:AF54,"H1")*0.5)+(COUNTIF(C54:AF54,"H2")*0.5)+(COUNTIF(C54:AF54,"Q")*0.25)+(COUNTIF(C54:AF54,"I")*1)+(COUNTIF(C54:AF54,"S")*0)+(COUNTIF(C54:AF54,"M")*1)+(COUNTIF(C54:AF54,"C")*0)+(COUNTIF(C54:AF54,"V")*1)+(COUNTIF(C54:AF54,"A")*1)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9"/>
      <c r="F55" s="10"/>
      <c r="G55" s="10"/>
      <c r="H55" s="9"/>
      <c r="I55" s="9"/>
      <c r="J55" s="9"/>
      <c r="K55" s="9"/>
      <c r="L55" s="9"/>
      <c r="M55" s="10"/>
      <c r="N55" s="10"/>
      <c r="O55" s="9"/>
      <c r="P55" s="9"/>
      <c r="Q55" s="9"/>
      <c r="R55" s="9"/>
      <c r="S55" s="9"/>
      <c r="T55" s="10"/>
      <c r="U55" s="10"/>
      <c r="V55" s="9"/>
      <c r="W55" s="9"/>
      <c r="X55" s="9"/>
      <c r="Y55" s="9"/>
      <c r="Z55" s="9"/>
      <c r="AA55" s="10"/>
      <c r="AB55" s="10"/>
      <c r="AC55" s="9"/>
      <c r="AD55" s="9"/>
      <c r="AE55" s="9"/>
      <c r="AF55" s="9"/>
      <c r="AG55" s="11" t="n">
        <f aca="false">(COUNTIF(C55:AF55,"H")*1)+(COUNTIF(C55:AF55,"H1")*0.5)+(COUNTIF(C55:AF55,"H2")*0.5)+(COUNTIF(C55:AF55,"Q")*0.25)+(COUNTIF(C55:AF55,"I")*1)+(COUNTIF(C55:AF55,"S")*0)+(COUNTIF(C55:AF55,"M")*1)+(COUNTIF(C55:AF55,"C")*0)+(COUNTIF(C55:AF55,"V")*1)+(COUNTIF(C55:AF55,"A")*1)</f>
        <v>0</v>
      </c>
    </row>
    <row r="57" customFormat="false" ht="15.75" hidden="false" customHeight="false" outlineLevel="0" collapsed="false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customFormat="false" ht="15.75" hidden="false" customHeight="false" outlineLevel="0" collapsed="false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</row>
  </sheetData>
  <mergeCells count="12">
    <mergeCell ref="C1:AF1"/>
    <mergeCell ref="C2:G2"/>
    <mergeCell ref="H2:N2"/>
    <mergeCell ref="O2:U2"/>
    <mergeCell ref="V2:AB2"/>
    <mergeCell ref="AC2:AF2"/>
    <mergeCell ref="AG3:AG5"/>
    <mergeCell ref="AI3:AI5"/>
    <mergeCell ref="AJ3:AJ5"/>
    <mergeCell ref="AK3:AK5"/>
    <mergeCell ref="B57:AF57"/>
    <mergeCell ref="B58:AF58"/>
  </mergeCells>
  <conditionalFormatting sqref="C6:AF55">
    <cfRule type="expression" priority="2" aboveAverage="0" equalAverage="0" bottom="0" percent="0" rank="0" text="" dxfId="30">
      <formula>NOT(ISERROR(SEARCH("H1", C6)))</formula>
    </cfRule>
    <cfRule type="expression" priority="3" aboveAverage="0" equalAverage="0" bottom="0" percent="0" rank="0" text="" dxfId="31">
      <formula>NOT(ISERROR(SEARCH("H2", C6)))</formula>
    </cfRule>
    <cfRule type="expression" priority="4" aboveAverage="0" equalAverage="0" bottom="0" percent="0" rank="0" text="" dxfId="32">
      <formula>NOT(ISERROR(SEARCH("H", C6)))</formula>
    </cfRule>
    <cfRule type="expression" priority="5" aboveAverage="0" equalAverage="0" bottom="0" percent="0" rank="0" text="" dxfId="33">
      <formula>NOT(ISERROR(SEARCH("Q", C6)))</formula>
    </cfRule>
    <cfRule type="expression" priority="6" aboveAverage="0" equalAverage="0" bottom="0" percent="0" rank="0" text="" dxfId="34">
      <formula>NOT(ISERROR(SEARCH("I", C6)))</formula>
    </cfRule>
    <cfRule type="expression" priority="7" aboveAverage="0" equalAverage="0" bottom="0" percent="0" rank="0" text="" dxfId="35">
      <formula>NOT(ISERROR(SEARCH("S", C6)))</formula>
    </cfRule>
    <cfRule type="expression" priority="8" aboveAverage="0" equalAverage="0" bottom="0" percent="0" rank="0" text="" dxfId="36">
      <formula>NOT(ISERROR(SEARCH("M", C6)))</formula>
    </cfRule>
    <cfRule type="expression" priority="9" aboveAverage="0" equalAverage="0" bottom="0" percent="0" rank="0" text="" dxfId="37">
      <formula>NOT(ISERROR(SEARCH("C", C6)))</formula>
    </cfRule>
    <cfRule type="expression" priority="10" aboveAverage="0" equalAverage="0" bottom="0" percent="0" rank="0" text="" dxfId="38">
      <formula>NOT(ISERROR(SEARCH("V", C6)))</formula>
    </cfRule>
    <cfRule type="expression" priority="11" aboveAverage="0" equalAverage="0" bottom="0" percent="0" rank="0" text="" dxfId="39">
      <formula>NOT(ISERROR(SEARCH("A", 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.37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70</v>
      </c>
      <c r="D2" s="1"/>
      <c r="E2" s="1"/>
      <c r="F2" s="1" t="s">
        <v>73</v>
      </c>
      <c r="G2" s="1"/>
      <c r="H2" s="1"/>
      <c r="I2" s="1"/>
      <c r="J2" s="1"/>
      <c r="K2" s="1"/>
      <c r="L2" s="1"/>
      <c r="M2" s="1" t="s">
        <v>74</v>
      </c>
      <c r="N2" s="1"/>
      <c r="O2" s="1"/>
      <c r="P2" s="1"/>
      <c r="Q2" s="1"/>
      <c r="R2" s="1"/>
      <c r="S2" s="1"/>
      <c r="T2" s="1" t="s">
        <v>75</v>
      </c>
      <c r="U2" s="1"/>
      <c r="V2" s="1"/>
      <c r="W2" s="1"/>
      <c r="X2" s="1"/>
      <c r="Y2" s="1"/>
      <c r="Z2" s="1"/>
      <c r="AA2" s="1" t="s">
        <v>76</v>
      </c>
      <c r="AB2" s="1"/>
      <c r="AC2" s="1"/>
      <c r="AD2" s="1"/>
      <c r="AE2" s="1"/>
      <c r="AF2" s="1"/>
      <c r="AG2" s="1"/>
    </row>
    <row r="3" customFormat="false" ht="12" hidden="false" customHeight="true" outlineLevel="0" collapsed="false">
      <c r="B3" s="2"/>
      <c r="C3" s="3" t="s">
        <v>77</v>
      </c>
      <c r="D3" s="3" t="s">
        <v>77</v>
      </c>
      <c r="E3" s="3" t="s">
        <v>77</v>
      </c>
      <c r="F3" s="3" t="s">
        <v>77</v>
      </c>
      <c r="G3" s="3" t="s">
        <v>77</v>
      </c>
      <c r="H3" s="3" t="s">
        <v>77</v>
      </c>
      <c r="I3" s="3" t="s">
        <v>77</v>
      </c>
      <c r="J3" s="3" t="s">
        <v>77</v>
      </c>
      <c r="K3" s="3" t="s">
        <v>77</v>
      </c>
      <c r="L3" s="3" t="s">
        <v>77</v>
      </c>
      <c r="M3" s="3" t="s">
        <v>77</v>
      </c>
      <c r="N3" s="3" t="s">
        <v>77</v>
      </c>
      <c r="O3" s="3" t="s">
        <v>77</v>
      </c>
      <c r="P3" s="3" t="s">
        <v>77</v>
      </c>
      <c r="Q3" s="3" t="s">
        <v>77</v>
      </c>
      <c r="R3" s="3" t="s">
        <v>77</v>
      </c>
      <c r="S3" s="3" t="s">
        <v>77</v>
      </c>
      <c r="T3" s="3" t="s">
        <v>77</v>
      </c>
      <c r="U3" s="3" t="s">
        <v>77</v>
      </c>
      <c r="V3" s="3" t="s">
        <v>77</v>
      </c>
      <c r="W3" s="3" t="s">
        <v>77</v>
      </c>
      <c r="X3" s="3" t="s">
        <v>77</v>
      </c>
      <c r="Y3" s="3" t="s">
        <v>77</v>
      </c>
      <c r="Z3" s="3" t="s">
        <v>77</v>
      </c>
      <c r="AA3" s="3" t="s">
        <v>77</v>
      </c>
      <c r="AB3" s="3" t="s">
        <v>77</v>
      </c>
      <c r="AC3" s="3" t="s">
        <v>77</v>
      </c>
      <c r="AD3" s="3" t="s">
        <v>77</v>
      </c>
      <c r="AE3" s="3" t="s">
        <v>77</v>
      </c>
      <c r="AF3" s="3" t="s">
        <v>77</v>
      </c>
      <c r="AG3" s="3" t="s">
        <v>77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11</v>
      </c>
      <c r="Q5" s="6" t="s">
        <v>12</v>
      </c>
      <c r="R5" s="6" t="s">
        <v>13</v>
      </c>
      <c r="S5" s="6" t="s">
        <v>14</v>
      </c>
      <c r="T5" s="6" t="s">
        <v>15</v>
      </c>
      <c r="U5" s="6" t="s">
        <v>16</v>
      </c>
      <c r="V5" s="6" t="s">
        <v>17</v>
      </c>
      <c r="W5" s="6" t="s">
        <v>11</v>
      </c>
      <c r="X5" s="6" t="s">
        <v>12</v>
      </c>
      <c r="Y5" s="6" t="s">
        <v>13</v>
      </c>
      <c r="Z5" s="6" t="s">
        <v>14</v>
      </c>
      <c r="AA5" s="6" t="s">
        <v>15</v>
      </c>
      <c r="AB5" s="6" t="s">
        <v>16</v>
      </c>
      <c r="AC5" s="6" t="s">
        <v>17</v>
      </c>
      <c r="AD5" s="6" t="s">
        <v>11</v>
      </c>
      <c r="AE5" s="6" t="s">
        <v>12</v>
      </c>
      <c r="AF5" s="6" t="s">
        <v>13</v>
      </c>
      <c r="AG5" s="6" t="s">
        <v>14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9" t="s">
        <v>20</v>
      </c>
      <c r="D6" s="10"/>
      <c r="E6" s="10"/>
      <c r="F6" s="9" t="s">
        <v>39</v>
      </c>
      <c r="G6" s="9" t="s">
        <v>66</v>
      </c>
      <c r="H6" s="9" t="s">
        <v>66</v>
      </c>
      <c r="I6" s="9" t="s">
        <v>66</v>
      </c>
      <c r="J6" s="9" t="s">
        <v>39</v>
      </c>
      <c r="K6" s="10"/>
      <c r="L6" s="10"/>
      <c r="M6" s="9"/>
      <c r="N6" s="9"/>
      <c r="O6" s="9"/>
      <c r="P6" s="9"/>
      <c r="Q6" s="9"/>
      <c r="R6" s="10"/>
      <c r="S6" s="10"/>
      <c r="T6" s="9"/>
      <c r="U6" s="9"/>
      <c r="V6" s="9"/>
      <c r="W6" s="9"/>
      <c r="X6" s="9"/>
      <c r="Y6" s="10"/>
      <c r="Z6" s="10"/>
      <c r="AA6" s="9"/>
      <c r="AB6" s="9"/>
      <c r="AC6" s="9" t="s">
        <v>20</v>
      </c>
      <c r="AD6" s="9"/>
      <c r="AE6" s="9"/>
      <c r="AF6" s="10"/>
      <c r="AG6" s="10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4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 t="s">
        <v>20</v>
      </c>
      <c r="D7" s="10"/>
      <c r="E7" s="10"/>
      <c r="F7" s="9"/>
      <c r="G7" s="9"/>
      <c r="H7" s="9"/>
      <c r="I7" s="9"/>
      <c r="J7" s="9"/>
      <c r="K7" s="10"/>
      <c r="L7" s="10"/>
      <c r="M7" s="9"/>
      <c r="N7" s="9"/>
      <c r="O7" s="9"/>
      <c r="P7" s="9"/>
      <c r="Q7" s="9"/>
      <c r="R7" s="10"/>
      <c r="S7" s="10"/>
      <c r="T7" s="9"/>
      <c r="U7" s="9"/>
      <c r="V7" s="9"/>
      <c r="W7" s="9"/>
      <c r="X7" s="9"/>
      <c r="Y7" s="10"/>
      <c r="Z7" s="10"/>
      <c r="AA7" s="9"/>
      <c r="AB7" s="9"/>
      <c r="AC7" s="9" t="s">
        <v>20</v>
      </c>
      <c r="AD7" s="9"/>
      <c r="AE7" s="9" t="s">
        <v>19</v>
      </c>
      <c r="AF7" s="10"/>
      <c r="AG7" s="10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3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 t="s">
        <v>20</v>
      </c>
      <c r="D8" s="10"/>
      <c r="E8" s="10"/>
      <c r="F8" s="9"/>
      <c r="G8" s="9"/>
      <c r="H8" s="9"/>
      <c r="I8" s="9"/>
      <c r="J8" s="9"/>
      <c r="K8" s="10"/>
      <c r="L8" s="10"/>
      <c r="M8" s="9"/>
      <c r="N8" s="9"/>
      <c r="O8" s="9"/>
      <c r="P8" s="9"/>
      <c r="Q8" s="9"/>
      <c r="R8" s="10"/>
      <c r="S8" s="10"/>
      <c r="T8" s="9"/>
      <c r="U8" s="9"/>
      <c r="V8" s="9"/>
      <c r="W8" s="9"/>
      <c r="X8" s="9"/>
      <c r="Y8" s="10"/>
      <c r="Z8" s="10"/>
      <c r="AA8" s="9"/>
      <c r="AB8" s="9"/>
      <c r="AC8" s="9" t="s">
        <v>20</v>
      </c>
      <c r="AD8" s="9"/>
      <c r="AE8" s="9"/>
      <c r="AF8" s="10"/>
      <c r="AG8" s="10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2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 t="s">
        <v>20</v>
      </c>
      <c r="D9" s="10"/>
      <c r="E9" s="10"/>
      <c r="F9" s="9"/>
      <c r="G9" s="9"/>
      <c r="H9" s="9"/>
      <c r="I9" s="9" t="s">
        <v>19</v>
      </c>
      <c r="J9" s="9"/>
      <c r="K9" s="10"/>
      <c r="L9" s="10"/>
      <c r="M9" s="9"/>
      <c r="N9" s="9"/>
      <c r="O9" s="9"/>
      <c r="P9" s="9"/>
      <c r="Q9" s="9"/>
      <c r="R9" s="10"/>
      <c r="S9" s="10"/>
      <c r="T9" s="9"/>
      <c r="U9" s="9"/>
      <c r="V9" s="9"/>
      <c r="W9" s="9"/>
      <c r="X9" s="9"/>
      <c r="Y9" s="10"/>
      <c r="Z9" s="10"/>
      <c r="AA9" s="9"/>
      <c r="AB9" s="9" t="s">
        <v>42</v>
      </c>
      <c r="AC9" s="9" t="s">
        <v>20</v>
      </c>
      <c r="AD9" s="9"/>
      <c r="AE9" s="9"/>
      <c r="AF9" s="10"/>
      <c r="AG9" s="10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3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 t="s">
        <v>20</v>
      </c>
      <c r="D10" s="10"/>
      <c r="E10" s="10"/>
      <c r="F10" s="9"/>
      <c r="G10" s="9"/>
      <c r="H10" s="9" t="s">
        <v>30</v>
      </c>
      <c r="I10" s="9"/>
      <c r="J10" s="9"/>
      <c r="K10" s="10"/>
      <c r="L10" s="10"/>
      <c r="M10" s="9"/>
      <c r="N10" s="9"/>
      <c r="O10" s="9"/>
      <c r="P10" s="9"/>
      <c r="Q10" s="9"/>
      <c r="R10" s="10"/>
      <c r="S10" s="10"/>
      <c r="T10" s="9"/>
      <c r="U10" s="9"/>
      <c r="V10" s="9"/>
      <c r="W10" s="9"/>
      <c r="X10" s="9"/>
      <c r="Y10" s="10"/>
      <c r="Z10" s="10"/>
      <c r="AA10" s="9"/>
      <c r="AB10" s="9"/>
      <c r="AC10" s="9" t="s">
        <v>20</v>
      </c>
      <c r="AD10" s="9"/>
      <c r="AE10" s="9"/>
      <c r="AF10" s="10"/>
      <c r="AG10" s="10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2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 t="s">
        <v>20</v>
      </c>
      <c r="D11" s="10"/>
      <c r="E11" s="10"/>
      <c r="F11" s="9" t="s">
        <v>30</v>
      </c>
      <c r="G11" s="9" t="s">
        <v>30</v>
      </c>
      <c r="H11" s="9"/>
      <c r="I11" s="9"/>
      <c r="J11" s="9"/>
      <c r="K11" s="10"/>
      <c r="L11" s="10"/>
      <c r="M11" s="9"/>
      <c r="N11" s="9"/>
      <c r="O11" s="9"/>
      <c r="P11" s="9"/>
      <c r="Q11" s="9"/>
      <c r="R11" s="10"/>
      <c r="S11" s="10"/>
      <c r="T11" s="9"/>
      <c r="U11" s="9"/>
      <c r="V11" s="9"/>
      <c r="W11" s="9"/>
      <c r="X11" s="9"/>
      <c r="Y11" s="10"/>
      <c r="Z11" s="10"/>
      <c r="AA11" s="9"/>
      <c r="AB11" s="9"/>
      <c r="AC11" s="9" t="s">
        <v>20</v>
      </c>
      <c r="AD11" s="9"/>
      <c r="AE11" s="9"/>
      <c r="AF11" s="10"/>
      <c r="AG11" s="10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2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 t="s">
        <v>20</v>
      </c>
      <c r="D12" s="10"/>
      <c r="E12" s="10"/>
      <c r="F12" s="9"/>
      <c r="G12" s="9"/>
      <c r="H12" s="9"/>
      <c r="I12" s="9"/>
      <c r="J12" s="9"/>
      <c r="K12" s="10"/>
      <c r="L12" s="10"/>
      <c r="M12" s="9"/>
      <c r="N12" s="9"/>
      <c r="O12" s="9"/>
      <c r="P12" s="9"/>
      <c r="Q12" s="9"/>
      <c r="R12" s="10"/>
      <c r="S12" s="10"/>
      <c r="T12" s="9"/>
      <c r="U12" s="9"/>
      <c r="V12" s="9"/>
      <c r="W12" s="9"/>
      <c r="X12" s="9"/>
      <c r="Y12" s="10"/>
      <c r="Z12" s="10"/>
      <c r="AA12" s="9"/>
      <c r="AB12" s="9" t="s">
        <v>42</v>
      </c>
      <c r="AC12" s="9" t="s">
        <v>20</v>
      </c>
      <c r="AD12" s="9"/>
      <c r="AE12" s="9"/>
      <c r="AF12" s="10"/>
      <c r="AG12" s="10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2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 t="s">
        <v>20</v>
      </c>
      <c r="D13" s="10"/>
      <c r="E13" s="10"/>
      <c r="F13" s="9"/>
      <c r="G13" s="9"/>
      <c r="H13" s="9"/>
      <c r="I13" s="9"/>
      <c r="J13" s="9"/>
      <c r="K13" s="10"/>
      <c r="L13" s="10"/>
      <c r="M13" s="9"/>
      <c r="N13" s="9"/>
      <c r="O13" s="9"/>
      <c r="P13" s="9"/>
      <c r="Q13" s="9"/>
      <c r="R13" s="10"/>
      <c r="S13" s="10"/>
      <c r="T13" s="9"/>
      <c r="U13" s="9"/>
      <c r="V13" s="9"/>
      <c r="W13" s="9" t="s">
        <v>19</v>
      </c>
      <c r="X13" s="9"/>
      <c r="Y13" s="10"/>
      <c r="Z13" s="10"/>
      <c r="AA13" s="9"/>
      <c r="AB13" s="9"/>
      <c r="AC13" s="9" t="s">
        <v>20</v>
      </c>
      <c r="AD13" s="9"/>
      <c r="AE13" s="9"/>
      <c r="AF13" s="10"/>
      <c r="AG13" s="10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3</v>
      </c>
      <c r="AJ13" s="11" t="s">
        <v>78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 t="s">
        <v>20</v>
      </c>
      <c r="D14" s="10"/>
      <c r="E14" s="10"/>
      <c r="F14" s="9"/>
      <c r="G14" s="9"/>
      <c r="H14" s="9"/>
      <c r="I14" s="9"/>
      <c r="J14" s="9"/>
      <c r="K14" s="10"/>
      <c r="L14" s="10"/>
      <c r="M14" s="9"/>
      <c r="N14" s="9"/>
      <c r="O14" s="9"/>
      <c r="P14" s="9"/>
      <c r="Q14" s="9"/>
      <c r="R14" s="10"/>
      <c r="S14" s="10"/>
      <c r="T14" s="9"/>
      <c r="U14" s="9"/>
      <c r="V14" s="9"/>
      <c r="W14" s="9"/>
      <c r="X14" s="9"/>
      <c r="Y14" s="10"/>
      <c r="Z14" s="10"/>
      <c r="AA14" s="9"/>
      <c r="AB14" s="9"/>
      <c r="AC14" s="9" t="s">
        <v>20</v>
      </c>
      <c r="AD14" s="9"/>
      <c r="AE14" s="9"/>
      <c r="AF14" s="10"/>
      <c r="AG14" s="10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2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 t="s">
        <v>20</v>
      </c>
      <c r="D15" s="10"/>
      <c r="E15" s="10"/>
      <c r="F15" s="9"/>
      <c r="G15" s="9"/>
      <c r="H15" s="9"/>
      <c r="I15" s="9"/>
      <c r="J15" s="9" t="s">
        <v>19</v>
      </c>
      <c r="K15" s="10"/>
      <c r="L15" s="10"/>
      <c r="M15" s="9" t="s">
        <v>19</v>
      </c>
      <c r="N15" s="9"/>
      <c r="O15" s="9"/>
      <c r="P15" s="9"/>
      <c r="Q15" s="9"/>
      <c r="R15" s="10"/>
      <c r="S15" s="10"/>
      <c r="T15" s="9"/>
      <c r="U15" s="9"/>
      <c r="V15" s="9"/>
      <c r="W15" s="9"/>
      <c r="X15" s="9"/>
      <c r="Y15" s="10"/>
      <c r="Z15" s="10"/>
      <c r="AA15" s="9"/>
      <c r="AB15" s="9"/>
      <c r="AC15" s="9" t="s">
        <v>20</v>
      </c>
      <c r="AD15" s="9"/>
      <c r="AE15" s="9"/>
      <c r="AF15" s="10"/>
      <c r="AG15" s="10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4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 t="s">
        <v>20</v>
      </c>
      <c r="D16" s="10"/>
      <c r="E16" s="10"/>
      <c r="F16" s="9"/>
      <c r="G16" s="9"/>
      <c r="H16" s="9" t="s">
        <v>30</v>
      </c>
      <c r="I16" s="9" t="s">
        <v>30</v>
      </c>
      <c r="J16" s="9" t="s">
        <v>30</v>
      </c>
      <c r="K16" s="10"/>
      <c r="L16" s="10"/>
      <c r="M16" s="9"/>
      <c r="N16" s="9"/>
      <c r="O16" s="9"/>
      <c r="P16" s="9"/>
      <c r="Q16" s="9"/>
      <c r="R16" s="10"/>
      <c r="S16" s="10"/>
      <c r="T16" s="9"/>
      <c r="U16" s="9"/>
      <c r="V16" s="9"/>
      <c r="W16" s="9"/>
      <c r="X16" s="9"/>
      <c r="Y16" s="10"/>
      <c r="Z16" s="10"/>
      <c r="AA16" s="9"/>
      <c r="AB16" s="9"/>
      <c r="AC16" s="9" t="s">
        <v>20</v>
      </c>
      <c r="AD16" s="9"/>
      <c r="AE16" s="9"/>
      <c r="AF16" s="10"/>
      <c r="AG16" s="10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2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 t="s">
        <v>20</v>
      </c>
      <c r="D17" s="10"/>
      <c r="E17" s="10"/>
      <c r="F17" s="9"/>
      <c r="G17" s="9"/>
      <c r="H17" s="9"/>
      <c r="I17" s="9"/>
      <c r="J17" s="9"/>
      <c r="K17" s="10"/>
      <c r="L17" s="10"/>
      <c r="M17" s="9"/>
      <c r="N17" s="9"/>
      <c r="O17" s="9"/>
      <c r="P17" s="9"/>
      <c r="Q17" s="9"/>
      <c r="R17" s="10"/>
      <c r="S17" s="10"/>
      <c r="T17" s="9"/>
      <c r="U17" s="9"/>
      <c r="V17" s="9"/>
      <c r="W17" s="9"/>
      <c r="X17" s="9"/>
      <c r="Y17" s="10"/>
      <c r="Z17" s="10"/>
      <c r="AA17" s="9"/>
      <c r="AB17" s="9"/>
      <c r="AC17" s="9" t="s">
        <v>20</v>
      </c>
      <c r="AD17" s="9"/>
      <c r="AE17" s="9"/>
      <c r="AF17" s="10"/>
      <c r="AG17" s="10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2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 t="s">
        <v>20</v>
      </c>
      <c r="D18" s="10"/>
      <c r="E18" s="10"/>
      <c r="F18" s="9"/>
      <c r="G18" s="9"/>
      <c r="H18" s="9"/>
      <c r="I18" s="9"/>
      <c r="J18" s="9"/>
      <c r="K18" s="10"/>
      <c r="L18" s="10"/>
      <c r="M18" s="9"/>
      <c r="N18" s="9"/>
      <c r="O18" s="9"/>
      <c r="P18" s="9"/>
      <c r="Q18" s="9"/>
      <c r="R18" s="10"/>
      <c r="S18" s="10"/>
      <c r="T18" s="9"/>
      <c r="U18" s="9"/>
      <c r="V18" s="9"/>
      <c r="W18" s="9"/>
      <c r="X18" s="9"/>
      <c r="Y18" s="10"/>
      <c r="Z18" s="10"/>
      <c r="AA18" s="9"/>
      <c r="AB18" s="9"/>
      <c r="AC18" s="9" t="s">
        <v>20</v>
      </c>
      <c r="AD18" s="9"/>
      <c r="AE18" s="9"/>
      <c r="AF18" s="10"/>
      <c r="AG18" s="10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2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 t="s">
        <v>20</v>
      </c>
      <c r="D19" s="10"/>
      <c r="E19" s="10"/>
      <c r="F19" s="9" t="s">
        <v>30</v>
      </c>
      <c r="G19" s="9" t="s">
        <v>30</v>
      </c>
      <c r="H19" s="9" t="s">
        <v>30</v>
      </c>
      <c r="I19" s="9" t="s">
        <v>30</v>
      </c>
      <c r="J19" s="9" t="s">
        <v>30</v>
      </c>
      <c r="K19" s="10"/>
      <c r="L19" s="10"/>
      <c r="M19" s="9"/>
      <c r="N19" s="9"/>
      <c r="O19" s="9"/>
      <c r="P19" s="9"/>
      <c r="Q19" s="9"/>
      <c r="R19" s="10"/>
      <c r="S19" s="10"/>
      <c r="T19" s="9"/>
      <c r="U19" s="9"/>
      <c r="V19" s="9"/>
      <c r="W19" s="9"/>
      <c r="X19" s="9"/>
      <c r="Y19" s="10"/>
      <c r="Z19" s="10"/>
      <c r="AA19" s="9"/>
      <c r="AB19" s="9"/>
      <c r="AC19" s="9" t="s">
        <v>20</v>
      </c>
      <c r="AD19" s="9"/>
      <c r="AE19" s="9"/>
      <c r="AF19" s="10"/>
      <c r="AG19" s="10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2</v>
      </c>
    </row>
    <row r="20" customFormat="false" ht="19.5" hidden="false" customHeight="true" outlineLevel="0" collapsed="false">
      <c r="B20" s="8" t="s">
        <v>79</v>
      </c>
      <c r="C20" s="9" t="s">
        <v>20</v>
      </c>
      <c r="D20" s="10"/>
      <c r="E20" s="10"/>
      <c r="F20" s="9"/>
      <c r="G20" s="9"/>
      <c r="H20" s="9"/>
      <c r="I20" s="9"/>
      <c r="J20" s="9"/>
      <c r="K20" s="10"/>
      <c r="L20" s="10"/>
      <c r="M20" s="9"/>
      <c r="N20" s="9"/>
      <c r="O20" s="9"/>
      <c r="P20" s="9"/>
      <c r="Q20" s="9"/>
      <c r="R20" s="10"/>
      <c r="S20" s="10"/>
      <c r="T20" s="9"/>
      <c r="U20" s="9"/>
      <c r="V20" s="9"/>
      <c r="W20" s="9"/>
      <c r="X20" s="9"/>
      <c r="Y20" s="10"/>
      <c r="Z20" s="10"/>
      <c r="AA20" s="9"/>
      <c r="AB20" s="9"/>
      <c r="AC20" s="9" t="s">
        <v>20</v>
      </c>
      <c r="AD20" s="9"/>
      <c r="AE20" s="9"/>
      <c r="AF20" s="10"/>
      <c r="AG20" s="10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2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10"/>
      <c r="E21" s="10"/>
      <c r="F21" s="9"/>
      <c r="G21" s="9"/>
      <c r="H21" s="9"/>
      <c r="I21" s="9"/>
      <c r="J21" s="9" t="s">
        <v>66</v>
      </c>
      <c r="K21" s="10"/>
      <c r="L21" s="10"/>
      <c r="M21" s="9"/>
      <c r="N21" s="9"/>
      <c r="O21" s="9"/>
      <c r="P21" s="9"/>
      <c r="Q21" s="9"/>
      <c r="R21" s="10"/>
      <c r="S21" s="10"/>
      <c r="T21" s="9" t="s">
        <v>30</v>
      </c>
      <c r="U21" s="9" t="s">
        <v>30</v>
      </c>
      <c r="V21" s="9" t="s">
        <v>30</v>
      </c>
      <c r="W21" s="9" t="s">
        <v>30</v>
      </c>
      <c r="X21" s="9" t="s">
        <v>30</v>
      </c>
      <c r="Y21" s="10"/>
      <c r="Z21" s="10"/>
      <c r="AA21" s="9" t="s">
        <v>39</v>
      </c>
      <c r="AB21" s="9"/>
      <c r="AC21" s="9"/>
      <c r="AD21" s="9"/>
      <c r="AE21" s="9"/>
      <c r="AF21" s="10"/>
      <c r="AG21" s="10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1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10"/>
      <c r="E22" s="10"/>
      <c r="F22" s="9"/>
      <c r="G22" s="9"/>
      <c r="H22" s="9"/>
      <c r="I22" s="9"/>
      <c r="J22" s="9"/>
      <c r="K22" s="10"/>
      <c r="L22" s="10"/>
      <c r="M22" s="9"/>
      <c r="N22" s="9"/>
      <c r="O22" s="9"/>
      <c r="P22" s="9"/>
      <c r="Q22" s="9"/>
      <c r="R22" s="10"/>
      <c r="S22" s="10"/>
      <c r="T22" s="9"/>
      <c r="U22" s="9"/>
      <c r="V22" s="9"/>
      <c r="W22" s="9"/>
      <c r="X22" s="9"/>
      <c r="Y22" s="10"/>
      <c r="Z22" s="10"/>
      <c r="AA22" s="9"/>
      <c r="AB22" s="9"/>
      <c r="AC22" s="9"/>
      <c r="AD22" s="9"/>
      <c r="AE22" s="9"/>
      <c r="AF22" s="10"/>
      <c r="AG22" s="10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10"/>
      <c r="E23" s="10"/>
      <c r="F23" s="9"/>
      <c r="G23" s="9"/>
      <c r="H23" s="9"/>
      <c r="I23" s="9"/>
      <c r="J23" s="9"/>
      <c r="K23" s="10"/>
      <c r="L23" s="10"/>
      <c r="M23" s="9"/>
      <c r="N23" s="9"/>
      <c r="O23" s="9"/>
      <c r="P23" s="9"/>
      <c r="Q23" s="9"/>
      <c r="R23" s="10"/>
      <c r="S23" s="10"/>
      <c r="T23" s="9"/>
      <c r="U23" s="9"/>
      <c r="V23" s="9"/>
      <c r="W23" s="9"/>
      <c r="X23" s="9"/>
      <c r="Y23" s="10"/>
      <c r="Z23" s="10"/>
      <c r="AA23" s="9"/>
      <c r="AB23" s="9"/>
      <c r="AC23" s="9"/>
      <c r="AD23" s="9"/>
      <c r="AE23" s="9"/>
      <c r="AF23" s="10"/>
      <c r="AG23" s="10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10"/>
      <c r="E24" s="10"/>
      <c r="F24" s="9"/>
      <c r="G24" s="9"/>
      <c r="H24" s="9"/>
      <c r="I24" s="9"/>
      <c r="J24" s="9"/>
      <c r="K24" s="10"/>
      <c r="L24" s="10"/>
      <c r="M24" s="9"/>
      <c r="N24" s="9"/>
      <c r="O24" s="9"/>
      <c r="P24" s="9"/>
      <c r="Q24" s="9"/>
      <c r="R24" s="10"/>
      <c r="S24" s="10"/>
      <c r="T24" s="9"/>
      <c r="U24" s="9"/>
      <c r="V24" s="9"/>
      <c r="W24" s="9"/>
      <c r="X24" s="9"/>
      <c r="Y24" s="10"/>
      <c r="Z24" s="10"/>
      <c r="AA24" s="9"/>
      <c r="AB24" s="9"/>
      <c r="AC24" s="9"/>
      <c r="AD24" s="9"/>
      <c r="AE24" s="9"/>
      <c r="AF24" s="10"/>
      <c r="AG24" s="10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10"/>
      <c r="E25" s="10"/>
      <c r="F25" s="9"/>
      <c r="G25" s="9"/>
      <c r="H25" s="9"/>
      <c r="I25" s="9"/>
      <c r="J25" s="9"/>
      <c r="K25" s="10"/>
      <c r="L25" s="10"/>
      <c r="M25" s="9"/>
      <c r="N25" s="9"/>
      <c r="O25" s="9"/>
      <c r="P25" s="9"/>
      <c r="Q25" s="9"/>
      <c r="R25" s="10"/>
      <c r="S25" s="10"/>
      <c r="T25" s="9"/>
      <c r="U25" s="9"/>
      <c r="V25" s="9"/>
      <c r="W25" s="9"/>
      <c r="X25" s="9"/>
      <c r="Y25" s="10"/>
      <c r="Z25" s="10"/>
      <c r="AA25" s="9"/>
      <c r="AB25" s="9"/>
      <c r="AC25" s="9"/>
      <c r="AD25" s="9"/>
      <c r="AE25" s="9"/>
      <c r="AF25" s="10"/>
      <c r="AG25" s="10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10"/>
      <c r="E26" s="10"/>
      <c r="F26" s="9"/>
      <c r="G26" s="9"/>
      <c r="H26" s="9"/>
      <c r="I26" s="9"/>
      <c r="J26" s="9"/>
      <c r="K26" s="10"/>
      <c r="L26" s="10"/>
      <c r="M26" s="9"/>
      <c r="N26" s="9"/>
      <c r="O26" s="9"/>
      <c r="P26" s="9"/>
      <c r="Q26" s="9"/>
      <c r="R26" s="10"/>
      <c r="S26" s="10"/>
      <c r="T26" s="9"/>
      <c r="U26" s="9"/>
      <c r="V26" s="9"/>
      <c r="W26" s="9"/>
      <c r="X26" s="9"/>
      <c r="Y26" s="10"/>
      <c r="Z26" s="10"/>
      <c r="AA26" s="9"/>
      <c r="AB26" s="9"/>
      <c r="AC26" s="9"/>
      <c r="AD26" s="9"/>
      <c r="AE26" s="9"/>
      <c r="AF26" s="10"/>
      <c r="AG26" s="10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10"/>
      <c r="E27" s="10"/>
      <c r="F27" s="9"/>
      <c r="G27" s="9"/>
      <c r="H27" s="9"/>
      <c r="I27" s="9"/>
      <c r="J27" s="9"/>
      <c r="K27" s="10"/>
      <c r="L27" s="10"/>
      <c r="M27" s="9"/>
      <c r="N27" s="9"/>
      <c r="O27" s="9"/>
      <c r="P27" s="9"/>
      <c r="Q27" s="9"/>
      <c r="R27" s="10"/>
      <c r="S27" s="10"/>
      <c r="T27" s="9"/>
      <c r="U27" s="9"/>
      <c r="V27" s="9"/>
      <c r="W27" s="9"/>
      <c r="X27" s="9"/>
      <c r="Y27" s="10"/>
      <c r="Z27" s="10"/>
      <c r="AA27" s="9"/>
      <c r="AB27" s="9"/>
      <c r="AC27" s="9"/>
      <c r="AD27" s="9"/>
      <c r="AE27" s="9"/>
      <c r="AF27" s="10"/>
      <c r="AG27" s="10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10"/>
      <c r="E28" s="10"/>
      <c r="F28" s="9"/>
      <c r="G28" s="9"/>
      <c r="H28" s="9"/>
      <c r="I28" s="9"/>
      <c r="J28" s="9"/>
      <c r="K28" s="10"/>
      <c r="L28" s="10"/>
      <c r="M28" s="9"/>
      <c r="N28" s="9"/>
      <c r="O28" s="9"/>
      <c r="P28" s="9"/>
      <c r="Q28" s="9"/>
      <c r="R28" s="10"/>
      <c r="S28" s="10"/>
      <c r="T28" s="9"/>
      <c r="U28" s="9"/>
      <c r="V28" s="9"/>
      <c r="W28" s="9"/>
      <c r="X28" s="9"/>
      <c r="Y28" s="10"/>
      <c r="Z28" s="10"/>
      <c r="AA28" s="9"/>
      <c r="AB28" s="9"/>
      <c r="AC28" s="9"/>
      <c r="AD28" s="9"/>
      <c r="AE28" s="9"/>
      <c r="AF28" s="10"/>
      <c r="AG28" s="10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10"/>
      <c r="E29" s="10"/>
      <c r="F29" s="9"/>
      <c r="G29" s="9"/>
      <c r="H29" s="9"/>
      <c r="I29" s="9"/>
      <c r="J29" s="9"/>
      <c r="K29" s="10"/>
      <c r="L29" s="10"/>
      <c r="M29" s="9"/>
      <c r="N29" s="9"/>
      <c r="O29" s="9"/>
      <c r="P29" s="9"/>
      <c r="Q29" s="9"/>
      <c r="R29" s="10"/>
      <c r="S29" s="10"/>
      <c r="T29" s="9"/>
      <c r="U29" s="9"/>
      <c r="V29" s="9"/>
      <c r="W29" s="9"/>
      <c r="X29" s="9"/>
      <c r="Y29" s="10"/>
      <c r="Z29" s="10"/>
      <c r="AA29" s="9"/>
      <c r="AB29" s="9"/>
      <c r="AC29" s="9"/>
      <c r="AD29" s="9"/>
      <c r="AE29" s="9"/>
      <c r="AF29" s="10"/>
      <c r="AG29" s="10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10"/>
      <c r="E30" s="10"/>
      <c r="F30" s="9"/>
      <c r="G30" s="9"/>
      <c r="H30" s="9"/>
      <c r="I30" s="9"/>
      <c r="J30" s="9"/>
      <c r="K30" s="10"/>
      <c r="L30" s="10"/>
      <c r="M30" s="9"/>
      <c r="N30" s="9"/>
      <c r="O30" s="9"/>
      <c r="P30" s="9"/>
      <c r="Q30" s="9"/>
      <c r="R30" s="10"/>
      <c r="S30" s="10"/>
      <c r="T30" s="9"/>
      <c r="U30" s="9"/>
      <c r="V30" s="9"/>
      <c r="W30" s="9"/>
      <c r="X30" s="9"/>
      <c r="Y30" s="10"/>
      <c r="Z30" s="10"/>
      <c r="AA30" s="9"/>
      <c r="AB30" s="9"/>
      <c r="AC30" s="9"/>
      <c r="AD30" s="9"/>
      <c r="AE30" s="9"/>
      <c r="AF30" s="10"/>
      <c r="AG30" s="10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10"/>
      <c r="E31" s="10"/>
      <c r="F31" s="9"/>
      <c r="G31" s="9"/>
      <c r="H31" s="9"/>
      <c r="I31" s="9"/>
      <c r="J31" s="9"/>
      <c r="K31" s="10"/>
      <c r="L31" s="10"/>
      <c r="M31" s="9"/>
      <c r="N31" s="9"/>
      <c r="O31" s="9"/>
      <c r="P31" s="9"/>
      <c r="Q31" s="9"/>
      <c r="R31" s="10"/>
      <c r="S31" s="10"/>
      <c r="T31" s="9"/>
      <c r="U31" s="9"/>
      <c r="V31" s="9"/>
      <c r="W31" s="9"/>
      <c r="X31" s="9"/>
      <c r="Y31" s="10"/>
      <c r="Z31" s="10"/>
      <c r="AA31" s="9"/>
      <c r="AB31" s="9"/>
      <c r="AC31" s="9"/>
      <c r="AD31" s="9"/>
      <c r="AE31" s="9"/>
      <c r="AF31" s="10"/>
      <c r="AG31" s="10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10"/>
      <c r="E32" s="10"/>
      <c r="F32" s="9"/>
      <c r="G32" s="9"/>
      <c r="H32" s="9"/>
      <c r="I32" s="9"/>
      <c r="J32" s="9"/>
      <c r="K32" s="10"/>
      <c r="L32" s="10"/>
      <c r="M32" s="9"/>
      <c r="N32" s="9"/>
      <c r="O32" s="9"/>
      <c r="P32" s="9"/>
      <c r="Q32" s="9"/>
      <c r="R32" s="10"/>
      <c r="S32" s="10"/>
      <c r="T32" s="9"/>
      <c r="U32" s="9"/>
      <c r="V32" s="9"/>
      <c r="W32" s="9"/>
      <c r="X32" s="9"/>
      <c r="Y32" s="10"/>
      <c r="Z32" s="10"/>
      <c r="AA32" s="9"/>
      <c r="AB32" s="9"/>
      <c r="AC32" s="9"/>
      <c r="AD32" s="9"/>
      <c r="AE32" s="9"/>
      <c r="AF32" s="10"/>
      <c r="AG32" s="10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10"/>
      <c r="E33" s="10"/>
      <c r="F33" s="9"/>
      <c r="G33" s="9"/>
      <c r="H33" s="9"/>
      <c r="I33" s="9"/>
      <c r="J33" s="9"/>
      <c r="K33" s="10"/>
      <c r="L33" s="10"/>
      <c r="M33" s="9"/>
      <c r="N33" s="9"/>
      <c r="O33" s="9"/>
      <c r="P33" s="9"/>
      <c r="Q33" s="9"/>
      <c r="R33" s="10"/>
      <c r="S33" s="10"/>
      <c r="T33" s="9"/>
      <c r="U33" s="9"/>
      <c r="V33" s="9"/>
      <c r="W33" s="9"/>
      <c r="X33" s="9"/>
      <c r="Y33" s="10"/>
      <c r="Z33" s="10"/>
      <c r="AA33" s="9"/>
      <c r="AB33" s="9"/>
      <c r="AC33" s="9"/>
      <c r="AD33" s="9"/>
      <c r="AE33" s="9"/>
      <c r="AF33" s="10"/>
      <c r="AG33" s="10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10"/>
      <c r="E34" s="10"/>
      <c r="F34" s="9"/>
      <c r="G34" s="9"/>
      <c r="H34" s="9"/>
      <c r="I34" s="9"/>
      <c r="J34" s="9"/>
      <c r="K34" s="10"/>
      <c r="L34" s="10"/>
      <c r="M34" s="9"/>
      <c r="N34" s="9"/>
      <c r="O34" s="9"/>
      <c r="P34" s="9"/>
      <c r="Q34" s="9"/>
      <c r="R34" s="10"/>
      <c r="S34" s="10"/>
      <c r="T34" s="9"/>
      <c r="U34" s="9"/>
      <c r="V34" s="9"/>
      <c r="W34" s="9"/>
      <c r="X34" s="9"/>
      <c r="Y34" s="10"/>
      <c r="Z34" s="10"/>
      <c r="AA34" s="9"/>
      <c r="AB34" s="9"/>
      <c r="AC34" s="9"/>
      <c r="AD34" s="9"/>
      <c r="AE34" s="9"/>
      <c r="AF34" s="10"/>
      <c r="AG34" s="10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10"/>
      <c r="E35" s="10"/>
      <c r="F35" s="9"/>
      <c r="G35" s="9"/>
      <c r="H35" s="9"/>
      <c r="I35" s="9"/>
      <c r="J35" s="9"/>
      <c r="K35" s="10"/>
      <c r="L35" s="10"/>
      <c r="M35" s="9"/>
      <c r="N35" s="9"/>
      <c r="O35" s="9"/>
      <c r="P35" s="9"/>
      <c r="Q35" s="9"/>
      <c r="R35" s="10"/>
      <c r="S35" s="10"/>
      <c r="T35" s="9"/>
      <c r="U35" s="9"/>
      <c r="V35" s="9"/>
      <c r="W35" s="9"/>
      <c r="X35" s="9"/>
      <c r="Y35" s="10"/>
      <c r="Z35" s="10"/>
      <c r="AA35" s="9"/>
      <c r="AB35" s="9"/>
      <c r="AC35" s="9"/>
      <c r="AD35" s="9"/>
      <c r="AE35" s="9"/>
      <c r="AF35" s="10"/>
      <c r="AG35" s="10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10"/>
      <c r="E36" s="10"/>
      <c r="F36" s="9"/>
      <c r="G36" s="9"/>
      <c r="H36" s="9"/>
      <c r="I36" s="9"/>
      <c r="J36" s="9"/>
      <c r="K36" s="10"/>
      <c r="L36" s="10"/>
      <c r="M36" s="9"/>
      <c r="N36" s="9"/>
      <c r="O36" s="9"/>
      <c r="P36" s="9"/>
      <c r="Q36" s="9"/>
      <c r="R36" s="10"/>
      <c r="S36" s="10"/>
      <c r="T36" s="9"/>
      <c r="U36" s="9"/>
      <c r="V36" s="9"/>
      <c r="W36" s="9"/>
      <c r="X36" s="9"/>
      <c r="Y36" s="10"/>
      <c r="Z36" s="10"/>
      <c r="AA36" s="9"/>
      <c r="AB36" s="9"/>
      <c r="AC36" s="9"/>
      <c r="AD36" s="9"/>
      <c r="AE36" s="9"/>
      <c r="AF36" s="10"/>
      <c r="AG36" s="10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10"/>
      <c r="E37" s="10"/>
      <c r="F37" s="9"/>
      <c r="G37" s="9"/>
      <c r="H37" s="9"/>
      <c r="I37" s="9"/>
      <c r="J37" s="9"/>
      <c r="K37" s="10"/>
      <c r="L37" s="10"/>
      <c r="M37" s="9"/>
      <c r="N37" s="9"/>
      <c r="O37" s="9"/>
      <c r="P37" s="9"/>
      <c r="Q37" s="9"/>
      <c r="R37" s="10"/>
      <c r="S37" s="10"/>
      <c r="T37" s="9"/>
      <c r="U37" s="9"/>
      <c r="V37" s="9"/>
      <c r="W37" s="9"/>
      <c r="X37" s="9"/>
      <c r="Y37" s="10"/>
      <c r="Z37" s="10"/>
      <c r="AA37" s="9"/>
      <c r="AB37" s="9"/>
      <c r="AC37" s="9"/>
      <c r="AD37" s="9"/>
      <c r="AE37" s="9"/>
      <c r="AF37" s="10"/>
      <c r="AG37" s="10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10"/>
      <c r="E38" s="10"/>
      <c r="F38" s="9"/>
      <c r="G38" s="9"/>
      <c r="H38" s="9"/>
      <c r="I38" s="9"/>
      <c r="J38" s="9"/>
      <c r="K38" s="10"/>
      <c r="L38" s="10"/>
      <c r="M38" s="9"/>
      <c r="N38" s="9"/>
      <c r="O38" s="9"/>
      <c r="P38" s="9"/>
      <c r="Q38" s="9"/>
      <c r="R38" s="10"/>
      <c r="S38" s="10"/>
      <c r="T38" s="9"/>
      <c r="U38" s="9"/>
      <c r="V38" s="9"/>
      <c r="W38" s="9"/>
      <c r="X38" s="9"/>
      <c r="Y38" s="10"/>
      <c r="Z38" s="10"/>
      <c r="AA38" s="9"/>
      <c r="AB38" s="9"/>
      <c r="AC38" s="9"/>
      <c r="AD38" s="9"/>
      <c r="AE38" s="9"/>
      <c r="AF38" s="10"/>
      <c r="AG38" s="10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10"/>
      <c r="E39" s="10"/>
      <c r="F39" s="9"/>
      <c r="G39" s="9"/>
      <c r="H39" s="9"/>
      <c r="I39" s="9"/>
      <c r="J39" s="9"/>
      <c r="K39" s="10"/>
      <c r="L39" s="10"/>
      <c r="M39" s="9"/>
      <c r="N39" s="9"/>
      <c r="O39" s="9"/>
      <c r="P39" s="9"/>
      <c r="Q39" s="9"/>
      <c r="R39" s="10"/>
      <c r="S39" s="10"/>
      <c r="T39" s="9"/>
      <c r="U39" s="9"/>
      <c r="V39" s="9"/>
      <c r="W39" s="9"/>
      <c r="X39" s="9"/>
      <c r="Y39" s="10"/>
      <c r="Z39" s="10"/>
      <c r="AA39" s="9"/>
      <c r="AB39" s="9"/>
      <c r="AC39" s="9"/>
      <c r="AD39" s="9"/>
      <c r="AE39" s="9"/>
      <c r="AF39" s="10"/>
      <c r="AG39" s="10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10"/>
      <c r="E40" s="10"/>
      <c r="F40" s="9"/>
      <c r="G40" s="9"/>
      <c r="H40" s="9"/>
      <c r="I40" s="9"/>
      <c r="J40" s="9"/>
      <c r="K40" s="10"/>
      <c r="L40" s="10"/>
      <c r="M40" s="9"/>
      <c r="N40" s="9"/>
      <c r="O40" s="9"/>
      <c r="P40" s="9"/>
      <c r="Q40" s="9"/>
      <c r="R40" s="10"/>
      <c r="S40" s="10"/>
      <c r="T40" s="9"/>
      <c r="U40" s="9"/>
      <c r="V40" s="9"/>
      <c r="W40" s="9"/>
      <c r="X40" s="9"/>
      <c r="Y40" s="10"/>
      <c r="Z40" s="10"/>
      <c r="AA40" s="9"/>
      <c r="AB40" s="9"/>
      <c r="AC40" s="9"/>
      <c r="AD40" s="9"/>
      <c r="AE40" s="9"/>
      <c r="AF40" s="10"/>
      <c r="AG40" s="10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10"/>
      <c r="E41" s="10"/>
      <c r="F41" s="9"/>
      <c r="G41" s="9"/>
      <c r="H41" s="9"/>
      <c r="I41" s="9"/>
      <c r="J41" s="9"/>
      <c r="K41" s="10"/>
      <c r="L41" s="10"/>
      <c r="M41" s="9"/>
      <c r="N41" s="9"/>
      <c r="O41" s="9"/>
      <c r="P41" s="9"/>
      <c r="Q41" s="9"/>
      <c r="R41" s="10"/>
      <c r="S41" s="10"/>
      <c r="T41" s="9"/>
      <c r="U41" s="9"/>
      <c r="V41" s="9"/>
      <c r="W41" s="9"/>
      <c r="X41" s="9"/>
      <c r="Y41" s="10"/>
      <c r="Z41" s="10"/>
      <c r="AA41" s="9"/>
      <c r="AB41" s="9"/>
      <c r="AC41" s="9"/>
      <c r="AD41" s="9"/>
      <c r="AE41" s="9"/>
      <c r="AF41" s="10"/>
      <c r="AG41" s="10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10"/>
      <c r="E42" s="10"/>
      <c r="F42" s="9"/>
      <c r="G42" s="9"/>
      <c r="H42" s="9"/>
      <c r="I42" s="9"/>
      <c r="J42" s="9"/>
      <c r="K42" s="10"/>
      <c r="L42" s="10"/>
      <c r="M42" s="9"/>
      <c r="N42" s="9"/>
      <c r="O42" s="9"/>
      <c r="P42" s="9"/>
      <c r="Q42" s="9"/>
      <c r="R42" s="10"/>
      <c r="S42" s="10"/>
      <c r="T42" s="9"/>
      <c r="U42" s="9"/>
      <c r="V42" s="9"/>
      <c r="W42" s="9"/>
      <c r="X42" s="9"/>
      <c r="Y42" s="10"/>
      <c r="Z42" s="10"/>
      <c r="AA42" s="9"/>
      <c r="AB42" s="9"/>
      <c r="AC42" s="9"/>
      <c r="AD42" s="9"/>
      <c r="AE42" s="9"/>
      <c r="AF42" s="10"/>
      <c r="AG42" s="10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10"/>
      <c r="E43" s="10"/>
      <c r="F43" s="9"/>
      <c r="G43" s="9"/>
      <c r="H43" s="9"/>
      <c r="I43" s="9"/>
      <c r="J43" s="9"/>
      <c r="K43" s="10"/>
      <c r="L43" s="10"/>
      <c r="M43" s="9"/>
      <c r="N43" s="9"/>
      <c r="O43" s="9"/>
      <c r="P43" s="9"/>
      <c r="Q43" s="9"/>
      <c r="R43" s="10"/>
      <c r="S43" s="10"/>
      <c r="T43" s="9"/>
      <c r="U43" s="9"/>
      <c r="V43" s="9"/>
      <c r="W43" s="9"/>
      <c r="X43" s="9"/>
      <c r="Y43" s="10"/>
      <c r="Z43" s="10"/>
      <c r="AA43" s="9"/>
      <c r="AB43" s="9"/>
      <c r="AC43" s="9"/>
      <c r="AD43" s="9"/>
      <c r="AE43" s="9"/>
      <c r="AF43" s="10"/>
      <c r="AG43" s="10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10"/>
      <c r="E44" s="10"/>
      <c r="F44" s="9"/>
      <c r="G44" s="9"/>
      <c r="H44" s="9"/>
      <c r="I44" s="9"/>
      <c r="J44" s="9"/>
      <c r="K44" s="10"/>
      <c r="L44" s="10"/>
      <c r="M44" s="9"/>
      <c r="N44" s="9"/>
      <c r="O44" s="9"/>
      <c r="P44" s="9"/>
      <c r="Q44" s="9"/>
      <c r="R44" s="10"/>
      <c r="S44" s="10"/>
      <c r="T44" s="9"/>
      <c r="U44" s="9"/>
      <c r="V44" s="9"/>
      <c r="W44" s="9"/>
      <c r="X44" s="9"/>
      <c r="Y44" s="10"/>
      <c r="Z44" s="10"/>
      <c r="AA44" s="9"/>
      <c r="AB44" s="9"/>
      <c r="AC44" s="9"/>
      <c r="AD44" s="9"/>
      <c r="AE44" s="9"/>
      <c r="AF44" s="10"/>
      <c r="AG44" s="10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10"/>
      <c r="E45" s="10"/>
      <c r="F45" s="9"/>
      <c r="G45" s="9"/>
      <c r="H45" s="9"/>
      <c r="I45" s="9"/>
      <c r="J45" s="9"/>
      <c r="K45" s="10"/>
      <c r="L45" s="10"/>
      <c r="M45" s="9"/>
      <c r="N45" s="9"/>
      <c r="O45" s="9"/>
      <c r="P45" s="9"/>
      <c r="Q45" s="9"/>
      <c r="R45" s="10"/>
      <c r="S45" s="10"/>
      <c r="T45" s="9"/>
      <c r="U45" s="9"/>
      <c r="V45" s="9"/>
      <c r="W45" s="9"/>
      <c r="X45" s="9"/>
      <c r="Y45" s="10"/>
      <c r="Z45" s="10"/>
      <c r="AA45" s="9"/>
      <c r="AB45" s="9"/>
      <c r="AC45" s="9"/>
      <c r="AD45" s="9"/>
      <c r="AE45" s="9"/>
      <c r="AF45" s="10"/>
      <c r="AG45" s="10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10"/>
      <c r="E46" s="10"/>
      <c r="F46" s="9"/>
      <c r="G46" s="9"/>
      <c r="H46" s="9"/>
      <c r="I46" s="9"/>
      <c r="J46" s="9"/>
      <c r="K46" s="10"/>
      <c r="L46" s="10"/>
      <c r="M46" s="9"/>
      <c r="N46" s="9"/>
      <c r="O46" s="9"/>
      <c r="P46" s="9"/>
      <c r="Q46" s="9"/>
      <c r="R46" s="10"/>
      <c r="S46" s="10"/>
      <c r="T46" s="9"/>
      <c r="U46" s="9"/>
      <c r="V46" s="9"/>
      <c r="W46" s="9"/>
      <c r="X46" s="9"/>
      <c r="Y46" s="10"/>
      <c r="Z46" s="10"/>
      <c r="AA46" s="9"/>
      <c r="AB46" s="9"/>
      <c r="AC46" s="9"/>
      <c r="AD46" s="9"/>
      <c r="AE46" s="9"/>
      <c r="AF46" s="10"/>
      <c r="AG46" s="10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10"/>
      <c r="E47" s="10"/>
      <c r="F47" s="9"/>
      <c r="G47" s="9"/>
      <c r="H47" s="9"/>
      <c r="I47" s="9"/>
      <c r="J47" s="9"/>
      <c r="K47" s="10"/>
      <c r="L47" s="10"/>
      <c r="M47" s="9"/>
      <c r="N47" s="9"/>
      <c r="O47" s="9"/>
      <c r="P47" s="9"/>
      <c r="Q47" s="9"/>
      <c r="R47" s="10"/>
      <c r="S47" s="10"/>
      <c r="T47" s="9"/>
      <c r="U47" s="9"/>
      <c r="V47" s="9"/>
      <c r="W47" s="9"/>
      <c r="X47" s="9"/>
      <c r="Y47" s="10"/>
      <c r="Z47" s="10"/>
      <c r="AA47" s="9"/>
      <c r="AB47" s="9"/>
      <c r="AC47" s="9"/>
      <c r="AD47" s="9"/>
      <c r="AE47" s="9"/>
      <c r="AF47" s="10"/>
      <c r="AG47" s="10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10"/>
      <c r="E48" s="10"/>
      <c r="F48" s="9"/>
      <c r="G48" s="9"/>
      <c r="H48" s="9"/>
      <c r="I48" s="9"/>
      <c r="J48" s="9"/>
      <c r="K48" s="10"/>
      <c r="L48" s="10"/>
      <c r="M48" s="9"/>
      <c r="N48" s="9"/>
      <c r="O48" s="9"/>
      <c r="P48" s="9"/>
      <c r="Q48" s="9"/>
      <c r="R48" s="10"/>
      <c r="S48" s="10"/>
      <c r="T48" s="9"/>
      <c r="U48" s="9"/>
      <c r="V48" s="9"/>
      <c r="W48" s="9"/>
      <c r="X48" s="9"/>
      <c r="Y48" s="10"/>
      <c r="Z48" s="10"/>
      <c r="AA48" s="9"/>
      <c r="AB48" s="9"/>
      <c r="AC48" s="9"/>
      <c r="AD48" s="9"/>
      <c r="AE48" s="9"/>
      <c r="AF48" s="10"/>
      <c r="AG48" s="10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10"/>
      <c r="E49" s="10"/>
      <c r="F49" s="9"/>
      <c r="G49" s="9"/>
      <c r="H49" s="9"/>
      <c r="I49" s="9"/>
      <c r="J49" s="9"/>
      <c r="K49" s="10"/>
      <c r="L49" s="10"/>
      <c r="M49" s="9"/>
      <c r="N49" s="9"/>
      <c r="O49" s="9"/>
      <c r="P49" s="9"/>
      <c r="Q49" s="9"/>
      <c r="R49" s="10"/>
      <c r="S49" s="10"/>
      <c r="T49" s="9"/>
      <c r="U49" s="9"/>
      <c r="V49" s="9"/>
      <c r="W49" s="9"/>
      <c r="X49" s="9"/>
      <c r="Y49" s="10"/>
      <c r="Z49" s="10"/>
      <c r="AA49" s="9"/>
      <c r="AB49" s="9"/>
      <c r="AC49" s="9"/>
      <c r="AD49" s="9"/>
      <c r="AE49" s="9"/>
      <c r="AF49" s="10"/>
      <c r="AG49" s="10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10"/>
      <c r="E50" s="10"/>
      <c r="F50" s="9"/>
      <c r="G50" s="9"/>
      <c r="H50" s="9"/>
      <c r="I50" s="9"/>
      <c r="J50" s="9"/>
      <c r="K50" s="10"/>
      <c r="L50" s="10"/>
      <c r="M50" s="9"/>
      <c r="N50" s="9"/>
      <c r="O50" s="9"/>
      <c r="P50" s="9"/>
      <c r="Q50" s="9"/>
      <c r="R50" s="10"/>
      <c r="S50" s="10"/>
      <c r="T50" s="9"/>
      <c r="U50" s="9"/>
      <c r="V50" s="9"/>
      <c r="W50" s="9"/>
      <c r="X50" s="9"/>
      <c r="Y50" s="10"/>
      <c r="Z50" s="10"/>
      <c r="AA50" s="9"/>
      <c r="AB50" s="9"/>
      <c r="AC50" s="9"/>
      <c r="AD50" s="9"/>
      <c r="AE50" s="9"/>
      <c r="AF50" s="10"/>
      <c r="AG50" s="10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10"/>
      <c r="E51" s="10"/>
      <c r="F51" s="9"/>
      <c r="G51" s="9"/>
      <c r="H51" s="9"/>
      <c r="I51" s="9"/>
      <c r="J51" s="9"/>
      <c r="K51" s="10"/>
      <c r="L51" s="10"/>
      <c r="M51" s="9"/>
      <c r="N51" s="9"/>
      <c r="O51" s="9"/>
      <c r="P51" s="9"/>
      <c r="Q51" s="9"/>
      <c r="R51" s="10"/>
      <c r="S51" s="10"/>
      <c r="T51" s="9"/>
      <c r="U51" s="9"/>
      <c r="V51" s="9"/>
      <c r="W51" s="9"/>
      <c r="X51" s="9"/>
      <c r="Y51" s="10"/>
      <c r="Z51" s="10"/>
      <c r="AA51" s="9"/>
      <c r="AB51" s="9"/>
      <c r="AC51" s="9"/>
      <c r="AD51" s="9"/>
      <c r="AE51" s="9"/>
      <c r="AF51" s="10"/>
      <c r="AG51" s="10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10"/>
      <c r="E52" s="10"/>
      <c r="F52" s="9"/>
      <c r="G52" s="9"/>
      <c r="H52" s="9"/>
      <c r="I52" s="9"/>
      <c r="J52" s="9"/>
      <c r="K52" s="10"/>
      <c r="L52" s="10"/>
      <c r="M52" s="9"/>
      <c r="N52" s="9"/>
      <c r="O52" s="9"/>
      <c r="P52" s="9"/>
      <c r="Q52" s="9"/>
      <c r="R52" s="10"/>
      <c r="S52" s="10"/>
      <c r="T52" s="9"/>
      <c r="U52" s="9"/>
      <c r="V52" s="9"/>
      <c r="W52" s="9"/>
      <c r="X52" s="9"/>
      <c r="Y52" s="10"/>
      <c r="Z52" s="10"/>
      <c r="AA52" s="9"/>
      <c r="AB52" s="9"/>
      <c r="AC52" s="9"/>
      <c r="AD52" s="9"/>
      <c r="AE52" s="9"/>
      <c r="AF52" s="10"/>
      <c r="AG52" s="10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10"/>
      <c r="E53" s="10"/>
      <c r="F53" s="9"/>
      <c r="G53" s="9"/>
      <c r="H53" s="9"/>
      <c r="I53" s="9"/>
      <c r="J53" s="9"/>
      <c r="K53" s="10"/>
      <c r="L53" s="10"/>
      <c r="M53" s="9"/>
      <c r="N53" s="9"/>
      <c r="O53" s="9"/>
      <c r="P53" s="9"/>
      <c r="Q53" s="9"/>
      <c r="R53" s="10"/>
      <c r="S53" s="10"/>
      <c r="T53" s="9"/>
      <c r="U53" s="9"/>
      <c r="V53" s="9"/>
      <c r="W53" s="9"/>
      <c r="X53" s="9"/>
      <c r="Y53" s="10"/>
      <c r="Z53" s="10"/>
      <c r="AA53" s="9"/>
      <c r="AB53" s="9"/>
      <c r="AC53" s="9"/>
      <c r="AD53" s="9"/>
      <c r="AE53" s="9"/>
      <c r="AF53" s="10"/>
      <c r="AG53" s="10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10"/>
      <c r="E54" s="10"/>
      <c r="F54" s="9"/>
      <c r="G54" s="9"/>
      <c r="H54" s="9"/>
      <c r="I54" s="9"/>
      <c r="J54" s="9"/>
      <c r="K54" s="10"/>
      <c r="L54" s="10"/>
      <c r="M54" s="9"/>
      <c r="N54" s="9"/>
      <c r="O54" s="9"/>
      <c r="P54" s="9"/>
      <c r="Q54" s="9"/>
      <c r="R54" s="10"/>
      <c r="S54" s="10"/>
      <c r="T54" s="9"/>
      <c r="U54" s="9"/>
      <c r="V54" s="9"/>
      <c r="W54" s="9"/>
      <c r="X54" s="9"/>
      <c r="Y54" s="10"/>
      <c r="Z54" s="10"/>
      <c r="AA54" s="9"/>
      <c r="AB54" s="9"/>
      <c r="AC54" s="9"/>
      <c r="AD54" s="9"/>
      <c r="AE54" s="9"/>
      <c r="AF54" s="10"/>
      <c r="AG54" s="10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10"/>
      <c r="E55" s="10"/>
      <c r="F55" s="9"/>
      <c r="G55" s="9"/>
      <c r="H55" s="9"/>
      <c r="I55" s="9"/>
      <c r="J55" s="9"/>
      <c r="K55" s="10"/>
      <c r="L55" s="10"/>
      <c r="M55" s="9"/>
      <c r="N55" s="9"/>
      <c r="O55" s="9"/>
      <c r="P55" s="9"/>
      <c r="Q55" s="9"/>
      <c r="R55" s="10"/>
      <c r="S55" s="10"/>
      <c r="T55" s="9"/>
      <c r="U55" s="9"/>
      <c r="V55" s="9"/>
      <c r="W55" s="9"/>
      <c r="X55" s="9"/>
      <c r="Y55" s="10"/>
      <c r="Z55" s="10"/>
      <c r="AA55" s="9"/>
      <c r="AB55" s="9"/>
      <c r="AC55" s="9"/>
      <c r="AD55" s="9"/>
      <c r="AE55" s="9"/>
      <c r="AF55" s="10"/>
      <c r="AG55" s="10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</row>
  </sheetData>
  <mergeCells count="12">
    <mergeCell ref="C1:AG1"/>
    <mergeCell ref="C2:E2"/>
    <mergeCell ref="F2:L2"/>
    <mergeCell ref="M2:S2"/>
    <mergeCell ref="T2:Z2"/>
    <mergeCell ref="AA2:AG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40">
      <formula>NOT(ISERROR(SEARCH("H1", C6)))</formula>
    </cfRule>
    <cfRule type="expression" priority="3" aboveAverage="0" equalAverage="0" bottom="0" percent="0" rank="0" text="" dxfId="41">
      <formula>NOT(ISERROR(SEARCH("H2", C6)))</formula>
    </cfRule>
    <cfRule type="expression" priority="4" aboveAverage="0" equalAverage="0" bottom="0" percent="0" rank="0" text="" dxfId="42">
      <formula>NOT(ISERROR(SEARCH("H", C6)))</formula>
    </cfRule>
    <cfRule type="expression" priority="5" aboveAverage="0" equalAverage="0" bottom="0" percent="0" rank="0" text="" dxfId="43">
      <formula>NOT(ISERROR(SEARCH("Q", C6)))</formula>
    </cfRule>
    <cfRule type="expression" priority="6" aboveAverage="0" equalAverage="0" bottom="0" percent="0" rank="0" text="" dxfId="44">
      <formula>NOT(ISERROR(SEARCH("I", C6)))</formula>
    </cfRule>
    <cfRule type="expression" priority="7" aboveAverage="0" equalAverage="0" bottom="0" percent="0" rank="0" text="" dxfId="45">
      <formula>NOT(ISERROR(SEARCH("S", C6)))</formula>
    </cfRule>
    <cfRule type="expression" priority="8" aboveAverage="0" equalAverage="0" bottom="0" percent="0" rank="0" text="" dxfId="46">
      <formula>NOT(ISERROR(SEARCH("M", C6)))</formula>
    </cfRule>
    <cfRule type="expression" priority="9" aboveAverage="0" equalAverage="0" bottom="0" percent="0" rank="0" text="" dxfId="47">
      <formula>NOT(ISERROR(SEARCH("C", C6)))</formula>
    </cfRule>
    <cfRule type="expression" priority="10" aboveAverage="0" equalAverage="0" bottom="0" percent="0" rank="0" text="" dxfId="48">
      <formula>NOT(ISERROR(SEARCH("V", C6)))</formula>
    </cfRule>
    <cfRule type="expression" priority="11" aboveAverage="0" equalAverage="0" bottom="0" percent="0" rank="0" text="" dxfId="49">
      <formula>NOT(ISERROR(SEARCH("A", 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5" activeCellId="0" sqref="X15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.63"/>
    <col collapsed="false" customWidth="true" hidden="false" outlineLevel="0" max="32" min="3" style="0" width="4"/>
    <col collapsed="false" customWidth="true" hidden="false" outlineLevel="0" max="34" min="34" style="0" width="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8" min="38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" hidden="false" customHeight="true" outlineLevel="0" collapsed="false">
      <c r="C2" s="1" t="s">
        <v>80</v>
      </c>
      <c r="D2" s="1"/>
      <c r="E2" s="1"/>
      <c r="F2" s="1"/>
      <c r="G2" s="1"/>
      <c r="H2" s="1"/>
      <c r="I2" s="1"/>
      <c r="J2" s="1" t="s">
        <v>81</v>
      </c>
      <c r="K2" s="1"/>
      <c r="L2" s="1"/>
      <c r="M2" s="1"/>
      <c r="N2" s="1"/>
      <c r="O2" s="1"/>
      <c r="P2" s="1"/>
      <c r="Q2" s="1" t="s">
        <v>82</v>
      </c>
      <c r="R2" s="1"/>
      <c r="S2" s="1"/>
      <c r="T2" s="1"/>
      <c r="U2" s="1"/>
      <c r="V2" s="1"/>
      <c r="W2" s="1"/>
      <c r="X2" s="1" t="s">
        <v>83</v>
      </c>
      <c r="Y2" s="1"/>
      <c r="Z2" s="1"/>
      <c r="AA2" s="1"/>
      <c r="AB2" s="1"/>
      <c r="AC2" s="1"/>
      <c r="AD2" s="1"/>
      <c r="AE2" s="1" t="s">
        <v>84</v>
      </c>
      <c r="AF2" s="1"/>
    </row>
    <row r="3" customFormat="false" ht="12" hidden="false" customHeight="true" outlineLevel="0" collapsed="false">
      <c r="B3" s="2"/>
      <c r="C3" s="3" t="s">
        <v>85</v>
      </c>
      <c r="D3" s="3" t="s">
        <v>85</v>
      </c>
      <c r="E3" s="3" t="s">
        <v>85</v>
      </c>
      <c r="F3" s="3" t="s">
        <v>85</v>
      </c>
      <c r="G3" s="3" t="s">
        <v>85</v>
      </c>
      <c r="H3" s="3" t="s">
        <v>85</v>
      </c>
      <c r="I3" s="3" t="s">
        <v>85</v>
      </c>
      <c r="J3" s="3" t="s">
        <v>85</v>
      </c>
      <c r="K3" s="3" t="s">
        <v>85</v>
      </c>
      <c r="L3" s="3" t="s">
        <v>85</v>
      </c>
      <c r="M3" s="3" t="s">
        <v>85</v>
      </c>
      <c r="N3" s="3" t="s">
        <v>85</v>
      </c>
      <c r="O3" s="3" t="s">
        <v>85</v>
      </c>
      <c r="P3" s="3" t="s">
        <v>85</v>
      </c>
      <c r="Q3" s="3" t="s">
        <v>85</v>
      </c>
      <c r="R3" s="3" t="s">
        <v>85</v>
      </c>
      <c r="S3" s="3" t="s">
        <v>85</v>
      </c>
      <c r="T3" s="3" t="s">
        <v>85</v>
      </c>
      <c r="U3" s="3" t="s">
        <v>85</v>
      </c>
      <c r="V3" s="3" t="s">
        <v>85</v>
      </c>
      <c r="W3" s="3" t="s">
        <v>85</v>
      </c>
      <c r="X3" s="3" t="s">
        <v>85</v>
      </c>
      <c r="Y3" s="3" t="s">
        <v>85</v>
      </c>
      <c r="Z3" s="3" t="s">
        <v>85</v>
      </c>
      <c r="AA3" s="3" t="s">
        <v>85</v>
      </c>
      <c r="AB3" s="3" t="s">
        <v>85</v>
      </c>
      <c r="AC3" s="3" t="s">
        <v>85</v>
      </c>
      <c r="AD3" s="3" t="s">
        <v>85</v>
      </c>
      <c r="AE3" s="3" t="s">
        <v>85</v>
      </c>
      <c r="AF3" s="3" t="s">
        <v>85</v>
      </c>
      <c r="AG3" s="4" t="s">
        <v>7</v>
      </c>
      <c r="AI3" s="4" t="s">
        <v>8</v>
      </c>
      <c r="AJ3" s="4" t="s">
        <v>9</v>
      </c>
      <c r="AK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4"/>
      <c r="AI4" s="4"/>
      <c r="AJ4" s="4"/>
      <c r="AK4" s="4"/>
    </row>
    <row r="5" customFormat="false" ht="12" hidden="false" customHeight="true" outlineLevel="0" collapsed="false">
      <c r="B5" s="2"/>
      <c r="C5" s="6" t="s">
        <v>15</v>
      </c>
      <c r="D5" s="6" t="s">
        <v>16</v>
      </c>
      <c r="E5" s="6" t="s">
        <v>17</v>
      </c>
      <c r="F5" s="6" t="s">
        <v>11</v>
      </c>
      <c r="G5" s="6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  <c r="S5" s="6" t="s">
        <v>17</v>
      </c>
      <c r="T5" s="6" t="s">
        <v>11</v>
      </c>
      <c r="U5" s="6" t="s">
        <v>12</v>
      </c>
      <c r="V5" s="6" t="s">
        <v>13</v>
      </c>
      <c r="W5" s="6" t="s">
        <v>14</v>
      </c>
      <c r="X5" s="6" t="s">
        <v>15</v>
      </c>
      <c r="Y5" s="6" t="s">
        <v>16</v>
      </c>
      <c r="Z5" s="6" t="s">
        <v>17</v>
      </c>
      <c r="AA5" s="6" t="s">
        <v>11</v>
      </c>
      <c r="AB5" s="6" t="s">
        <v>12</v>
      </c>
      <c r="AC5" s="6" t="s">
        <v>13</v>
      </c>
      <c r="AD5" s="6" t="s">
        <v>14</v>
      </c>
      <c r="AE5" s="6" t="s">
        <v>15</v>
      </c>
      <c r="AF5" s="6" t="s">
        <v>16</v>
      </c>
      <c r="AG5" s="4"/>
      <c r="AI5" s="4"/>
      <c r="AJ5" s="4"/>
      <c r="AK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/>
      <c r="E6" s="9"/>
      <c r="F6" s="9"/>
      <c r="G6" s="9"/>
      <c r="H6" s="10"/>
      <c r="I6" s="10"/>
      <c r="J6" s="9"/>
      <c r="K6" s="9"/>
      <c r="L6" s="9"/>
      <c r="M6" s="9"/>
      <c r="N6" s="9"/>
      <c r="O6" s="10"/>
      <c r="P6" s="10"/>
      <c r="Q6" s="9"/>
      <c r="R6" s="9"/>
      <c r="S6" s="9"/>
      <c r="T6" s="9"/>
      <c r="U6" s="9"/>
      <c r="V6" s="10"/>
      <c r="W6" s="10"/>
      <c r="X6" s="9"/>
      <c r="Y6" s="9"/>
      <c r="Z6" s="9"/>
      <c r="AA6" s="9"/>
      <c r="AB6" s="9"/>
      <c r="AC6" s="10"/>
      <c r="AD6" s="10"/>
      <c r="AE6" s="9"/>
      <c r="AF6" s="9"/>
      <c r="AG6" s="11" t="n">
        <f aca="false">(COUNTIF(C6:AF6,"H")*1)+(COUNTIF(C6:AF6,"H1")*0.5)+(COUNTIF(C6:AF6,"H2")*0.5)+(COUNTIF(C6:AF6,"Q")*0.25)+(COUNTIF(C6:AF6,"I")*1)+(COUNTIF(C6:AF6,"S")*0)+(COUNTIF(C6:AF6,"M")*1)+(COUNTIF(C6:AF6,"C")*0)+(COUNTIF(C6:AF6,"V")*1)+(COUNTIF(C6:AF6,"A")*1)</f>
        <v>0</v>
      </c>
      <c r="AI6" s="11" t="s">
        <v>21</v>
      </c>
      <c r="AJ6" s="12" t="s">
        <v>20</v>
      </c>
      <c r="AK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9"/>
      <c r="F7" s="9"/>
      <c r="G7" s="9"/>
      <c r="H7" s="10"/>
      <c r="I7" s="10"/>
      <c r="J7" s="9"/>
      <c r="K7" s="9"/>
      <c r="L7" s="9"/>
      <c r="M7" s="9"/>
      <c r="N7" s="9"/>
      <c r="O7" s="10"/>
      <c r="P7" s="10"/>
      <c r="Q7" s="9"/>
      <c r="R7" s="9"/>
      <c r="S7" s="9"/>
      <c r="T7" s="9"/>
      <c r="U7" s="9"/>
      <c r="V7" s="10"/>
      <c r="W7" s="10"/>
      <c r="X7" s="9"/>
      <c r="Y7" s="9"/>
      <c r="Z7" s="9"/>
      <c r="AA7" s="9"/>
      <c r="AB7" s="9"/>
      <c r="AC7" s="10"/>
      <c r="AD7" s="10"/>
      <c r="AE7" s="9"/>
      <c r="AF7" s="9"/>
      <c r="AG7" s="11" t="n">
        <f aca="false">(COUNTIF(C7:AF7,"H")*1)+(COUNTIF(C7:AF7,"H1")*0.5)+(COUNTIF(C7:AF7,"H2")*0.5)+(COUNTIF(C7:AF7,"Q")*0.25)+(COUNTIF(C7:AF7,"I")*1)+(COUNTIF(C7:AF7,"S")*0)+(COUNTIF(C7:AF7,"M")*1)+(COUNTIF(C7:AF7,"C")*0)+(COUNTIF(C7:AF7,"V")*1)+(COUNTIF(C7:AF7,"A")*1)</f>
        <v>0</v>
      </c>
      <c r="AI7" s="11" t="s">
        <v>24</v>
      </c>
      <c r="AJ7" s="14" t="s">
        <v>25</v>
      </c>
      <c r="AK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 t="s">
        <v>42</v>
      </c>
      <c r="D8" s="9" t="s">
        <v>42</v>
      </c>
      <c r="E8" s="9" t="s">
        <v>42</v>
      </c>
      <c r="F8" s="9" t="s">
        <v>42</v>
      </c>
      <c r="G8" s="9" t="s">
        <v>42</v>
      </c>
      <c r="H8" s="10"/>
      <c r="I8" s="10"/>
      <c r="J8" s="9"/>
      <c r="K8" s="9"/>
      <c r="L8" s="9"/>
      <c r="M8" s="9"/>
      <c r="N8" s="9"/>
      <c r="O8" s="10"/>
      <c r="P8" s="10"/>
      <c r="Q8" s="9"/>
      <c r="R8" s="9"/>
      <c r="S8" s="9"/>
      <c r="T8" s="9"/>
      <c r="U8" s="9"/>
      <c r="V8" s="10"/>
      <c r="W8" s="10"/>
      <c r="X8" s="9"/>
      <c r="Y8" s="9"/>
      <c r="Z8" s="9"/>
      <c r="AA8" s="9"/>
      <c r="AB8" s="9"/>
      <c r="AC8" s="10"/>
      <c r="AD8" s="10"/>
      <c r="AE8" s="9"/>
      <c r="AF8" s="9"/>
      <c r="AG8" s="11" t="n">
        <f aca="false">(COUNTIF(C8:AF8,"H")*1)+(COUNTIF(C8:AF8,"H1")*0.5)+(COUNTIF(C8:AF8,"H2")*0.5)+(COUNTIF(C8:AF8,"Q")*0.25)+(COUNTIF(C8:AF8,"I")*1)+(COUNTIF(C8:AF8,"S")*0)+(COUNTIF(C8:AF8,"M")*1)+(COUNTIF(C8:AF8,"C")*0)+(COUNTIF(C8:AF8,"V")*1)+(COUNTIF(C8:AF8,"A")*1)</f>
        <v>0</v>
      </c>
      <c r="AI8" s="11" t="s">
        <v>27</v>
      </c>
      <c r="AJ8" s="14" t="s">
        <v>28</v>
      </c>
      <c r="AK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/>
      <c r="E9" s="9"/>
      <c r="F9" s="9"/>
      <c r="G9" s="9"/>
      <c r="H9" s="10"/>
      <c r="I9" s="10"/>
      <c r="J9" s="9"/>
      <c r="K9" s="9"/>
      <c r="L9" s="9"/>
      <c r="M9" s="9"/>
      <c r="N9" s="9"/>
      <c r="O9" s="10"/>
      <c r="P9" s="10"/>
      <c r="Q9" s="9"/>
      <c r="R9" s="9"/>
      <c r="S9" s="9"/>
      <c r="T9" s="9"/>
      <c r="U9" s="9"/>
      <c r="V9" s="10"/>
      <c r="W9" s="10"/>
      <c r="X9" s="9"/>
      <c r="Y9" s="9"/>
      <c r="Z9" s="9"/>
      <c r="AA9" s="9"/>
      <c r="AB9" s="9"/>
      <c r="AC9" s="10"/>
      <c r="AD9" s="10"/>
      <c r="AE9" s="9"/>
      <c r="AF9" s="9"/>
      <c r="AG9" s="11" t="n">
        <f aca="false">(COUNTIF(C9:AF9,"H")*1)+(COUNTIF(C9:AF9,"H1")*0.5)+(COUNTIF(C9:AF9,"H2")*0.5)+(COUNTIF(C9:AF9,"Q")*0.25)+(COUNTIF(C9:AF9,"I")*1)+(COUNTIF(C9:AF9,"S")*0)+(COUNTIF(C9:AF9,"M")*1)+(COUNTIF(C9:AF9,"C")*0)+(COUNTIF(C9:AF9,"V")*1)+(COUNTIF(C9:AF9,"A")*1)</f>
        <v>0</v>
      </c>
      <c r="AI9" s="11" t="s">
        <v>31</v>
      </c>
      <c r="AJ9" s="15" t="s">
        <v>32</v>
      </c>
      <c r="AK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9"/>
      <c r="F10" s="9"/>
      <c r="G10" s="9"/>
      <c r="H10" s="10"/>
      <c r="I10" s="10"/>
      <c r="J10" s="9" t="s">
        <v>19</v>
      </c>
      <c r="K10" s="9" t="s">
        <v>19</v>
      </c>
      <c r="L10" s="9" t="s">
        <v>19</v>
      </c>
      <c r="M10" s="9" t="s">
        <v>19</v>
      </c>
      <c r="N10" s="9"/>
      <c r="O10" s="10"/>
      <c r="P10" s="10"/>
      <c r="Q10" s="9"/>
      <c r="R10" s="9"/>
      <c r="S10" s="9"/>
      <c r="T10" s="9"/>
      <c r="U10" s="9"/>
      <c r="V10" s="10"/>
      <c r="W10" s="10"/>
      <c r="X10" s="9" t="s">
        <v>19</v>
      </c>
      <c r="Y10" s="9" t="s">
        <v>19</v>
      </c>
      <c r="Z10" s="9" t="s">
        <v>19</v>
      </c>
      <c r="AA10" s="9"/>
      <c r="AB10" s="9"/>
      <c r="AC10" s="10"/>
      <c r="AD10" s="10"/>
      <c r="AE10" s="9"/>
      <c r="AF10" s="9"/>
      <c r="AG10" s="11" t="n">
        <f aca="false">(COUNTIF(C10:AF10,"H")*1)+(COUNTIF(C10:AF10,"H1")*0.5)+(COUNTIF(C10:AF10,"H2")*0.5)+(COUNTIF(C10:AF10,"Q")*0.25)+(COUNTIF(C10:AF10,"I")*1)+(COUNTIF(C10:AF10,"S")*0)+(COUNTIF(C10:AF10,"M")*1)+(COUNTIF(C10:AF10,"C")*0)+(COUNTIF(C10:AF10,"V")*1)+(COUNTIF(C10:AF10,"A")*1)</f>
        <v>7</v>
      </c>
      <c r="AI10" s="11" t="s">
        <v>34</v>
      </c>
      <c r="AJ10" s="17" t="s">
        <v>23</v>
      </c>
      <c r="AK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 t="s">
        <v>30</v>
      </c>
      <c r="D11" s="9" t="s">
        <v>30</v>
      </c>
      <c r="E11" s="9"/>
      <c r="F11" s="9"/>
      <c r="G11" s="9" t="s">
        <v>30</v>
      </c>
      <c r="H11" s="10"/>
      <c r="I11" s="10"/>
      <c r="J11" s="9" t="s">
        <v>19</v>
      </c>
      <c r="K11" s="9"/>
      <c r="L11" s="9"/>
      <c r="M11" s="9"/>
      <c r="N11" s="9"/>
      <c r="O11" s="10"/>
      <c r="P11" s="10"/>
      <c r="Q11" s="9"/>
      <c r="R11" s="9"/>
      <c r="S11" s="9"/>
      <c r="T11" s="9"/>
      <c r="U11" s="9"/>
      <c r="V11" s="10"/>
      <c r="W11" s="10"/>
      <c r="X11" s="9"/>
      <c r="Y11" s="9"/>
      <c r="Z11" s="9"/>
      <c r="AA11" s="9"/>
      <c r="AB11" s="9"/>
      <c r="AC11" s="10"/>
      <c r="AD11" s="10"/>
      <c r="AE11" s="9"/>
      <c r="AF11" s="9"/>
      <c r="AG11" s="11" t="n">
        <f aca="false">(COUNTIF(C11:AF11,"H")*1)+(COUNTIF(C11:AF11,"H1")*0.5)+(COUNTIF(C11:AF11,"H2")*0.5)+(COUNTIF(C11:AF11,"Q")*0.25)+(COUNTIF(C11:AF11,"I")*1)+(COUNTIF(C11:AF11,"S")*0)+(COUNTIF(C11:AF11,"M")*1)+(COUNTIF(C11:AF11,"C")*0)+(COUNTIF(C11:AF11,"V")*1)+(COUNTIF(C11:AF11,"A")*1)</f>
        <v>1</v>
      </c>
      <c r="AI11" s="11" t="s">
        <v>36</v>
      </c>
      <c r="AJ11" s="18" t="s">
        <v>30</v>
      </c>
      <c r="AK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9"/>
      <c r="F12" s="9"/>
      <c r="G12" s="9"/>
      <c r="H12" s="10"/>
      <c r="I12" s="10"/>
      <c r="J12" s="9"/>
      <c r="K12" s="9"/>
      <c r="L12" s="9"/>
      <c r="M12" s="9"/>
      <c r="N12" s="9"/>
      <c r="O12" s="10"/>
      <c r="P12" s="10"/>
      <c r="Q12" s="9"/>
      <c r="R12" s="9"/>
      <c r="S12" s="9"/>
      <c r="T12" s="9"/>
      <c r="U12" s="9"/>
      <c r="V12" s="10"/>
      <c r="W12" s="10"/>
      <c r="X12" s="9"/>
      <c r="Y12" s="9"/>
      <c r="Z12" s="9"/>
      <c r="AA12" s="9"/>
      <c r="AB12" s="9"/>
      <c r="AC12" s="10"/>
      <c r="AD12" s="10"/>
      <c r="AE12" s="9"/>
      <c r="AF12" s="9"/>
      <c r="AG12" s="11" t="n">
        <f aca="false">(COUNTIF(C12:AF12,"H")*1)+(COUNTIF(C12:AF12,"H1")*0.5)+(COUNTIF(C12:AF12,"H2")*0.5)+(COUNTIF(C12:AF12,"Q")*0.25)+(COUNTIF(C12:AF12,"I")*1)+(COUNTIF(C12:AF12,"S")*0)+(COUNTIF(C12:AF12,"M")*1)+(COUNTIF(C12:AF12,"C")*0)+(COUNTIF(C12:AF12,"V")*1)+(COUNTIF(C12:AF12,"A")*1)</f>
        <v>0</v>
      </c>
      <c r="AI12" s="11" t="s">
        <v>38</v>
      </c>
      <c r="AJ12" s="19" t="s">
        <v>39</v>
      </c>
      <c r="AK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9"/>
      <c r="F13" s="9"/>
      <c r="G13" s="9"/>
      <c r="H13" s="10"/>
      <c r="I13" s="10"/>
      <c r="J13" s="9"/>
      <c r="K13" s="9"/>
      <c r="L13" s="9"/>
      <c r="M13" s="9"/>
      <c r="N13" s="9"/>
      <c r="O13" s="10"/>
      <c r="P13" s="10"/>
      <c r="Q13" s="9"/>
      <c r="R13" s="9"/>
      <c r="S13" s="9"/>
      <c r="T13" s="9"/>
      <c r="U13" s="9"/>
      <c r="V13" s="10"/>
      <c r="W13" s="10"/>
      <c r="X13" s="9"/>
      <c r="Y13" s="9"/>
      <c r="Z13" s="9"/>
      <c r="AA13" s="9"/>
      <c r="AB13" s="9"/>
      <c r="AC13" s="10"/>
      <c r="AD13" s="10"/>
      <c r="AE13" s="9"/>
      <c r="AF13" s="9"/>
      <c r="AG13" s="11" t="n">
        <f aca="false">(COUNTIF(C13:AF13,"H")*1)+(COUNTIF(C13:AF13,"H1")*0.5)+(COUNTIF(C13:AF13,"H2")*0.5)+(COUNTIF(C13:AF13,"Q")*0.25)+(COUNTIF(C13:AF13,"I")*1)+(COUNTIF(C13:AF13,"S")*0)+(COUNTIF(C13:AF13,"M")*1)+(COUNTIF(C13:AF13,"C")*0)+(COUNTIF(C13:AF13,"V")*1)+(COUNTIF(C13:AF13,"A")*1)</f>
        <v>0</v>
      </c>
      <c r="AI13" s="11" t="s">
        <v>41</v>
      </c>
      <c r="AJ13" s="20" t="s">
        <v>42</v>
      </c>
      <c r="AK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 t="s">
        <v>19</v>
      </c>
      <c r="D14" s="9"/>
      <c r="E14" s="9" t="s">
        <v>30</v>
      </c>
      <c r="F14" s="9" t="s">
        <v>30</v>
      </c>
      <c r="G14" s="9" t="s">
        <v>30</v>
      </c>
      <c r="H14" s="10"/>
      <c r="I14" s="10"/>
      <c r="J14" s="9"/>
      <c r="K14" s="9"/>
      <c r="L14" s="9"/>
      <c r="M14" s="9"/>
      <c r="N14" s="9"/>
      <c r="O14" s="10"/>
      <c r="P14" s="10"/>
      <c r="Q14" s="9"/>
      <c r="R14" s="9"/>
      <c r="S14" s="9"/>
      <c r="T14" s="9"/>
      <c r="U14" s="9"/>
      <c r="V14" s="10"/>
      <c r="W14" s="10"/>
      <c r="X14" s="9"/>
      <c r="Y14" s="9"/>
      <c r="Z14" s="9"/>
      <c r="AA14" s="9"/>
      <c r="AB14" s="9"/>
      <c r="AC14" s="10"/>
      <c r="AD14" s="10"/>
      <c r="AE14" s="9"/>
      <c r="AF14" s="9"/>
      <c r="AG14" s="11" t="n">
        <f aca="false">(COUNTIF(C14:AF14,"H")*1)+(COUNTIF(C14:AF14,"H1")*0.5)+(COUNTIF(C14:AF14,"H2")*0.5)+(COUNTIF(C14:AF14,"Q")*0.25)+(COUNTIF(C14:AF14,"I")*1)+(COUNTIF(C14:AF14,"S")*0)+(COUNTIF(C14:AF14,"M")*1)+(COUNTIF(C14:AF14,"C")*0)+(COUNTIF(C14:AF14,"V")*1)+(COUNTIF(C14:AF14,"A")*1)</f>
        <v>1</v>
      </c>
      <c r="AI14" s="11" t="s">
        <v>44</v>
      </c>
      <c r="AJ14" s="21" t="s">
        <v>19</v>
      </c>
      <c r="AK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/>
      <c r="E15" s="9"/>
      <c r="F15" s="9" t="s">
        <v>19</v>
      </c>
      <c r="G15" s="9"/>
      <c r="H15" s="10"/>
      <c r="I15" s="10"/>
      <c r="J15" s="9"/>
      <c r="K15" s="9"/>
      <c r="L15" s="9"/>
      <c r="M15" s="9"/>
      <c r="N15" s="9"/>
      <c r="O15" s="10"/>
      <c r="P15" s="10"/>
      <c r="Q15" s="9"/>
      <c r="R15" s="9"/>
      <c r="S15" s="9"/>
      <c r="T15" s="9" t="s">
        <v>19</v>
      </c>
      <c r="U15" s="9" t="s">
        <v>19</v>
      </c>
      <c r="V15" s="10"/>
      <c r="W15" s="10"/>
      <c r="X15" s="9" t="s">
        <v>19</v>
      </c>
      <c r="Y15" s="9"/>
      <c r="Z15" s="9"/>
      <c r="AA15" s="9"/>
      <c r="AB15" s="9"/>
      <c r="AC15" s="10"/>
      <c r="AD15" s="10"/>
      <c r="AE15" s="9"/>
      <c r="AF15" s="9"/>
      <c r="AG15" s="11" t="n">
        <f aca="false">(COUNTIF(C15:AF15,"H")*1)+(COUNTIF(C15:AF15,"H1")*0.5)+(COUNTIF(C15:AF15,"H2")*0.5)+(COUNTIF(C15:AF15,"Q")*0.25)+(COUNTIF(C15:AF15,"I")*1)+(COUNTIF(C15:AF15,"S")*0)+(COUNTIF(C15:AF15,"M")*1)+(COUNTIF(C15:AF15,"C")*0)+(COUNTIF(C15:AF15,"V")*1)+(COUNTIF(C15:AF15,"A")*1)</f>
        <v>4</v>
      </c>
      <c r="AI15" s="11" t="s">
        <v>46</v>
      </c>
      <c r="AJ15" s="22" t="s">
        <v>47</v>
      </c>
      <c r="AK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9"/>
      <c r="F16" s="9" t="s">
        <v>25</v>
      </c>
      <c r="G16" s="9" t="s">
        <v>28</v>
      </c>
      <c r="H16" s="10"/>
      <c r="I16" s="10"/>
      <c r="J16" s="9" t="s">
        <v>25</v>
      </c>
      <c r="K16" s="9"/>
      <c r="L16" s="9"/>
      <c r="M16" s="9"/>
      <c r="N16" s="9"/>
      <c r="O16" s="10"/>
      <c r="P16" s="10"/>
      <c r="Q16" s="9"/>
      <c r="R16" s="9"/>
      <c r="S16" s="9"/>
      <c r="T16" s="9"/>
      <c r="U16" s="9"/>
      <c r="V16" s="10"/>
      <c r="W16" s="10"/>
      <c r="X16" s="9"/>
      <c r="Y16" s="9"/>
      <c r="Z16" s="9"/>
      <c r="AA16" s="9"/>
      <c r="AB16" s="9"/>
      <c r="AC16" s="10"/>
      <c r="AD16" s="10"/>
      <c r="AE16" s="9"/>
      <c r="AF16" s="9"/>
      <c r="AG16" s="11" t="n">
        <f aca="false">(COUNTIF(C16:AF16,"H")*1)+(COUNTIF(C16:AF16,"H1")*0.5)+(COUNTIF(C16:AF16,"H2")*0.5)+(COUNTIF(C16:AF16,"Q")*0.25)+(COUNTIF(C16:AF16,"I")*1)+(COUNTIF(C16:AF16,"S")*0)+(COUNTIF(C16:AF16,"M")*1)+(COUNTIF(C16:AF16,"C")*0)+(COUNTIF(C16:AF16,"V")*1)+(COUNTIF(C16:AF16,"A")*1)</f>
        <v>1.5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 t="s">
        <v>19</v>
      </c>
      <c r="D17" s="9"/>
      <c r="E17" s="9"/>
      <c r="F17" s="9"/>
      <c r="G17" s="9" t="s">
        <v>19</v>
      </c>
      <c r="H17" s="10"/>
      <c r="I17" s="10"/>
      <c r="J17" s="9"/>
      <c r="K17" s="9"/>
      <c r="L17" s="9"/>
      <c r="M17" s="9"/>
      <c r="N17" s="9"/>
      <c r="O17" s="10"/>
      <c r="P17" s="10"/>
      <c r="Q17" s="9"/>
      <c r="R17" s="9"/>
      <c r="S17" s="9"/>
      <c r="T17" s="9"/>
      <c r="U17" s="9"/>
      <c r="V17" s="10"/>
      <c r="W17" s="10"/>
      <c r="X17" s="9"/>
      <c r="Y17" s="9"/>
      <c r="Z17" s="9"/>
      <c r="AA17" s="9"/>
      <c r="AB17" s="9"/>
      <c r="AC17" s="10"/>
      <c r="AD17" s="10"/>
      <c r="AE17" s="9"/>
      <c r="AF17" s="9"/>
      <c r="AG17" s="11" t="n">
        <f aca="false">(COUNTIF(C17:AF17,"H")*1)+(COUNTIF(C17:AF17,"H1")*0.5)+(COUNTIF(C17:AF17,"H2")*0.5)+(COUNTIF(C17:AF17,"Q")*0.25)+(COUNTIF(C17:AF17,"I")*1)+(COUNTIF(C17:AF17,"S")*0)+(COUNTIF(C17:AF17,"M")*1)+(COUNTIF(C17:AF17,"C")*0)+(COUNTIF(C17:AF17,"V")*1)+(COUNTIF(C17:AF17,"A")*1)</f>
        <v>2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9"/>
      <c r="F18" s="9"/>
      <c r="G18" s="9"/>
      <c r="H18" s="10"/>
      <c r="I18" s="10"/>
      <c r="J18" s="9"/>
      <c r="K18" s="9"/>
      <c r="L18" s="9"/>
      <c r="M18" s="9"/>
      <c r="N18" s="9"/>
      <c r="O18" s="10"/>
      <c r="P18" s="10"/>
      <c r="Q18" s="9"/>
      <c r="R18" s="9"/>
      <c r="S18" s="9"/>
      <c r="T18" s="9"/>
      <c r="U18" s="9"/>
      <c r="V18" s="10"/>
      <c r="W18" s="10"/>
      <c r="X18" s="9"/>
      <c r="Y18" s="9"/>
      <c r="Z18" s="9"/>
      <c r="AA18" s="9"/>
      <c r="AB18" s="9"/>
      <c r="AC18" s="10"/>
      <c r="AD18" s="10"/>
      <c r="AE18" s="9"/>
      <c r="AF18" s="9"/>
      <c r="AG18" s="11" t="n">
        <f aca="false">(COUNTIF(C18:AF18,"H")*1)+(COUNTIF(C18:AF18,"H1")*0.5)+(COUNTIF(C18:AF18,"H2")*0.5)+(COUNTIF(C18:AF18,"Q")*0.25)+(COUNTIF(C18:AF18,"I")*1)+(COUNTIF(C18:AF18,"S")*0)+(COUNTIF(C18:AF18,"M")*1)+(COUNTIF(C18:AF18,"C")*0)+(COUNTIF(C18:AF18,"V")*1)+(COUNTIF(C18:AF18,"A")*1)</f>
        <v>0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9"/>
      <c r="F19" s="9"/>
      <c r="G19" s="9"/>
      <c r="H19" s="10"/>
      <c r="I19" s="10"/>
      <c r="J19" s="9" t="s">
        <v>32</v>
      </c>
      <c r="K19" s="9" t="s">
        <v>32</v>
      </c>
      <c r="L19" s="9" t="s">
        <v>32</v>
      </c>
      <c r="M19" s="9"/>
      <c r="N19" s="9"/>
      <c r="O19" s="10"/>
      <c r="P19" s="10"/>
      <c r="Q19" s="9"/>
      <c r="R19" s="9"/>
      <c r="S19" s="9"/>
      <c r="T19" s="9"/>
      <c r="U19" s="9"/>
      <c r="V19" s="10"/>
      <c r="W19" s="10"/>
      <c r="X19" s="9"/>
      <c r="Y19" s="9"/>
      <c r="Z19" s="9"/>
      <c r="AA19" s="9"/>
      <c r="AB19" s="9"/>
      <c r="AC19" s="10"/>
      <c r="AD19" s="10"/>
      <c r="AE19" s="9"/>
      <c r="AF19" s="9"/>
      <c r="AG19" s="11" t="n">
        <f aca="false">(COUNTIF(C19:AF19,"H")*1)+(COUNTIF(C19:AF19,"H1")*0.5)+(COUNTIF(C19:AF19,"H2")*0.5)+(COUNTIF(C19:AF19,"Q")*0.25)+(COUNTIF(C19:AF19,"I")*1)+(COUNTIF(C19:AF19,"S")*0)+(COUNTIF(C19:AF19,"M")*1)+(COUNTIF(C19:AF19,"C")*0)+(COUNTIF(C19:AF19,"V")*1)+(COUNTIF(C19:AF19,"A")*1)</f>
        <v>0.75</v>
      </c>
    </row>
    <row r="20" customFormat="false" ht="19.5" hidden="false" customHeight="true" outlineLevel="0" collapsed="false">
      <c r="B20" s="8" t="s">
        <v>79</v>
      </c>
      <c r="C20" s="9"/>
      <c r="D20" s="9"/>
      <c r="E20" s="9"/>
      <c r="F20" s="9"/>
      <c r="G20" s="9"/>
      <c r="H20" s="10"/>
      <c r="I20" s="10"/>
      <c r="J20" s="9"/>
      <c r="K20" s="9"/>
      <c r="L20" s="9"/>
      <c r="M20" s="9" t="s">
        <v>19</v>
      </c>
      <c r="N20" s="9"/>
      <c r="O20" s="10"/>
      <c r="P20" s="10"/>
      <c r="Q20" s="9"/>
      <c r="R20" s="9"/>
      <c r="S20" s="9"/>
      <c r="T20" s="9"/>
      <c r="U20" s="9"/>
      <c r="V20" s="10"/>
      <c r="W20" s="10"/>
      <c r="X20" s="9"/>
      <c r="Y20" s="9"/>
      <c r="Z20" s="9" t="s">
        <v>30</v>
      </c>
      <c r="AA20" s="9" t="s">
        <v>30</v>
      </c>
      <c r="AB20" s="9" t="s">
        <v>30</v>
      </c>
      <c r="AC20" s="10"/>
      <c r="AD20" s="10"/>
      <c r="AE20" s="9"/>
      <c r="AF20" s="9"/>
      <c r="AG20" s="11" t="n">
        <f aca="false">(COUNTIF(C20:AF20,"H")*1)+(COUNTIF(C20:AF20,"H1")*0.5)+(COUNTIF(C20:AF20,"H2")*0.5)+(COUNTIF(C20:AF20,"Q")*0.25)+(COUNTIF(C20:AF20,"I")*1)+(COUNTIF(C20:AF20,"S")*0)+(COUNTIF(C20:AF20,"M")*1)+(COUNTIF(C20:AF20,"C")*0)+(COUNTIF(C20:AF20,"V")*1)+(COUNTIF(C20:AF20,"A")*1)</f>
        <v>1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9"/>
      <c r="F21" s="9"/>
      <c r="G21" s="9"/>
      <c r="H21" s="10"/>
      <c r="I21" s="10"/>
      <c r="J21" s="9"/>
      <c r="K21" s="9"/>
      <c r="L21" s="9"/>
      <c r="M21" s="9"/>
      <c r="N21" s="9"/>
      <c r="O21" s="10"/>
      <c r="P21" s="10"/>
      <c r="Q21" s="9"/>
      <c r="R21" s="9"/>
      <c r="S21" s="9"/>
      <c r="T21" s="9"/>
      <c r="U21" s="9"/>
      <c r="V21" s="10"/>
      <c r="W21" s="10"/>
      <c r="X21" s="9"/>
      <c r="Y21" s="9"/>
      <c r="Z21" s="9"/>
      <c r="AA21" s="9"/>
      <c r="AB21" s="9"/>
      <c r="AC21" s="10"/>
      <c r="AD21" s="10"/>
      <c r="AE21" s="9"/>
      <c r="AF21" s="9"/>
      <c r="AG21" s="11" t="n">
        <f aca="false">(COUNTIF(C21:AF21,"H")*1)+(COUNTIF(C21:AF21,"H1")*0.5)+(COUNTIF(C21:AF21,"H2")*0.5)+(COUNTIF(C21:AF21,"Q")*0.25)+(COUNTIF(C21:AF21,"I")*1)+(COUNTIF(C21:AF21,"S")*0)+(COUNTIF(C21:AF21,"M")*1)+(COUNTIF(C21:AF21,"C")*0)+(COUNTIF(C21:AF21,"V")*1)+(COUNTIF(C21:AF21,"A")*1)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9"/>
      <c r="F22" s="9"/>
      <c r="G22" s="9"/>
      <c r="H22" s="10"/>
      <c r="I22" s="10"/>
      <c r="J22" s="9"/>
      <c r="K22" s="9"/>
      <c r="L22" s="9"/>
      <c r="M22" s="9"/>
      <c r="N22" s="9"/>
      <c r="O22" s="10"/>
      <c r="P22" s="10"/>
      <c r="Q22" s="9"/>
      <c r="R22" s="9"/>
      <c r="S22" s="9"/>
      <c r="T22" s="9"/>
      <c r="U22" s="9"/>
      <c r="V22" s="10"/>
      <c r="W22" s="10"/>
      <c r="X22" s="9"/>
      <c r="Y22" s="9"/>
      <c r="Z22" s="9"/>
      <c r="AA22" s="9"/>
      <c r="AB22" s="9"/>
      <c r="AC22" s="10"/>
      <c r="AD22" s="10"/>
      <c r="AE22" s="9"/>
      <c r="AF22" s="9"/>
      <c r="AG22" s="11" t="n">
        <f aca="false">(COUNTIF(C22:AF22,"H")*1)+(COUNTIF(C22:AF22,"H1")*0.5)+(COUNTIF(C22:AF22,"H2")*0.5)+(COUNTIF(C22:AF22,"Q")*0.25)+(COUNTIF(C22:AF22,"I")*1)+(COUNTIF(C22:AF22,"S")*0)+(COUNTIF(C22:AF22,"M")*1)+(COUNTIF(C22:AF22,"C")*0)+(COUNTIF(C22:AF22,"V")*1)+(COUNTIF(C22:AF22,"A")*1)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9"/>
      <c r="F23" s="9"/>
      <c r="G23" s="9"/>
      <c r="H23" s="10"/>
      <c r="I23" s="10"/>
      <c r="J23" s="9"/>
      <c r="K23" s="9"/>
      <c r="L23" s="9"/>
      <c r="M23" s="9"/>
      <c r="N23" s="9"/>
      <c r="O23" s="10"/>
      <c r="P23" s="10"/>
      <c r="Q23" s="9"/>
      <c r="R23" s="9"/>
      <c r="S23" s="9"/>
      <c r="T23" s="9"/>
      <c r="U23" s="9"/>
      <c r="V23" s="10"/>
      <c r="W23" s="10"/>
      <c r="X23" s="9"/>
      <c r="Y23" s="9"/>
      <c r="Z23" s="9"/>
      <c r="AA23" s="9"/>
      <c r="AB23" s="9"/>
      <c r="AC23" s="10"/>
      <c r="AD23" s="10"/>
      <c r="AE23" s="9"/>
      <c r="AF23" s="9"/>
      <c r="AG23" s="11" t="n">
        <f aca="false">(COUNTIF(C23:AF23,"H")*1)+(COUNTIF(C23:AF23,"H1")*0.5)+(COUNTIF(C23:AF23,"H2")*0.5)+(COUNTIF(C23:AF23,"Q")*0.25)+(COUNTIF(C23:AF23,"I")*1)+(COUNTIF(C23:AF23,"S")*0)+(COUNTIF(C23:AF23,"M")*1)+(COUNTIF(C23:AF23,"C")*0)+(COUNTIF(C23:AF23,"V")*1)+(COUNTIF(C23:AF23,"A")*1)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9"/>
      <c r="F24" s="9"/>
      <c r="G24" s="9"/>
      <c r="H24" s="10"/>
      <c r="I24" s="10"/>
      <c r="J24" s="9"/>
      <c r="K24" s="9"/>
      <c r="L24" s="9"/>
      <c r="M24" s="9"/>
      <c r="N24" s="9"/>
      <c r="O24" s="10"/>
      <c r="P24" s="10"/>
      <c r="Q24" s="9"/>
      <c r="R24" s="9"/>
      <c r="S24" s="9"/>
      <c r="T24" s="9"/>
      <c r="U24" s="9"/>
      <c r="V24" s="10"/>
      <c r="W24" s="10"/>
      <c r="X24" s="9"/>
      <c r="Y24" s="9"/>
      <c r="Z24" s="9"/>
      <c r="AA24" s="9"/>
      <c r="AB24" s="9"/>
      <c r="AC24" s="10"/>
      <c r="AD24" s="10"/>
      <c r="AE24" s="9"/>
      <c r="AF24" s="9"/>
      <c r="AG24" s="11" t="n">
        <f aca="false">(COUNTIF(C24:AF24,"H")*1)+(COUNTIF(C24:AF24,"H1")*0.5)+(COUNTIF(C24:AF24,"H2")*0.5)+(COUNTIF(C24:AF24,"Q")*0.25)+(COUNTIF(C24:AF24,"I")*1)+(COUNTIF(C24:AF24,"S")*0)+(COUNTIF(C24:AF24,"M")*1)+(COUNTIF(C24:AF24,"C")*0)+(COUNTIF(C24:AF24,"V")*1)+(COUNTIF(C24:AF24,"A")*1)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9"/>
      <c r="F25" s="9"/>
      <c r="G25" s="9"/>
      <c r="H25" s="10"/>
      <c r="I25" s="10"/>
      <c r="J25" s="9"/>
      <c r="K25" s="9"/>
      <c r="L25" s="9"/>
      <c r="M25" s="9"/>
      <c r="N25" s="9"/>
      <c r="O25" s="10"/>
      <c r="P25" s="10"/>
      <c r="Q25" s="9"/>
      <c r="R25" s="9"/>
      <c r="S25" s="9"/>
      <c r="T25" s="9"/>
      <c r="U25" s="9"/>
      <c r="V25" s="10"/>
      <c r="W25" s="10"/>
      <c r="X25" s="9"/>
      <c r="Y25" s="9"/>
      <c r="Z25" s="9"/>
      <c r="AA25" s="9"/>
      <c r="AB25" s="9"/>
      <c r="AC25" s="10"/>
      <c r="AD25" s="10"/>
      <c r="AE25" s="9"/>
      <c r="AF25" s="9"/>
      <c r="AG25" s="11" t="n">
        <f aca="false">(COUNTIF(C25:AF25,"H")*1)+(COUNTIF(C25:AF25,"H1")*0.5)+(COUNTIF(C25:AF25,"H2")*0.5)+(COUNTIF(C25:AF25,"Q")*0.25)+(COUNTIF(C25:AF25,"I")*1)+(COUNTIF(C25:AF25,"S")*0)+(COUNTIF(C25:AF25,"M")*1)+(COUNTIF(C25:AF25,"C")*0)+(COUNTIF(C25:AF25,"V")*1)+(COUNTIF(C25:AF25,"A")*1)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9"/>
      <c r="F26" s="9"/>
      <c r="G26" s="9"/>
      <c r="H26" s="10"/>
      <c r="I26" s="10"/>
      <c r="J26" s="9"/>
      <c r="K26" s="9"/>
      <c r="L26" s="9"/>
      <c r="M26" s="9"/>
      <c r="N26" s="9"/>
      <c r="O26" s="10"/>
      <c r="P26" s="10"/>
      <c r="Q26" s="9"/>
      <c r="R26" s="9"/>
      <c r="S26" s="9"/>
      <c r="T26" s="9"/>
      <c r="U26" s="9"/>
      <c r="V26" s="10"/>
      <c r="W26" s="10"/>
      <c r="X26" s="9"/>
      <c r="Y26" s="9"/>
      <c r="Z26" s="9"/>
      <c r="AA26" s="9"/>
      <c r="AB26" s="9"/>
      <c r="AC26" s="10"/>
      <c r="AD26" s="10"/>
      <c r="AE26" s="9"/>
      <c r="AF26" s="9"/>
      <c r="AG26" s="11" t="n">
        <f aca="false">(COUNTIF(C26:AF26,"H")*1)+(COUNTIF(C26:AF26,"H1")*0.5)+(COUNTIF(C26:AF26,"H2")*0.5)+(COUNTIF(C26:AF26,"Q")*0.25)+(COUNTIF(C26:AF26,"I")*1)+(COUNTIF(C26:AF26,"S")*0)+(COUNTIF(C26:AF26,"M")*1)+(COUNTIF(C26:AF26,"C")*0)+(COUNTIF(C26:AF26,"V")*1)+(COUNTIF(C26:AF26,"A")*1)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9"/>
      <c r="F27" s="9"/>
      <c r="G27" s="9"/>
      <c r="H27" s="10"/>
      <c r="I27" s="10"/>
      <c r="J27" s="9"/>
      <c r="K27" s="9"/>
      <c r="L27" s="9"/>
      <c r="M27" s="9"/>
      <c r="N27" s="9"/>
      <c r="O27" s="10"/>
      <c r="P27" s="10"/>
      <c r="Q27" s="9"/>
      <c r="R27" s="9"/>
      <c r="S27" s="9"/>
      <c r="T27" s="9"/>
      <c r="U27" s="9"/>
      <c r="V27" s="10"/>
      <c r="W27" s="10"/>
      <c r="X27" s="9"/>
      <c r="Y27" s="9"/>
      <c r="Z27" s="9"/>
      <c r="AA27" s="9"/>
      <c r="AB27" s="9"/>
      <c r="AC27" s="10"/>
      <c r="AD27" s="10"/>
      <c r="AE27" s="9"/>
      <c r="AF27" s="9"/>
      <c r="AG27" s="11" t="n">
        <f aca="false">(COUNTIF(C27:AF27,"H")*1)+(COUNTIF(C27:AF27,"H1")*0.5)+(COUNTIF(C27:AF27,"H2")*0.5)+(COUNTIF(C27:AF27,"Q")*0.25)+(COUNTIF(C27:AF27,"I")*1)+(COUNTIF(C27:AF27,"S")*0)+(COUNTIF(C27:AF27,"M")*1)+(COUNTIF(C27:AF27,"C")*0)+(COUNTIF(C27:AF27,"V")*1)+(COUNTIF(C27:AF27,"A")*1)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9"/>
      <c r="F28" s="9"/>
      <c r="G28" s="9"/>
      <c r="H28" s="10"/>
      <c r="I28" s="10"/>
      <c r="J28" s="9"/>
      <c r="K28" s="9"/>
      <c r="L28" s="9"/>
      <c r="M28" s="9"/>
      <c r="N28" s="9"/>
      <c r="O28" s="10"/>
      <c r="P28" s="10"/>
      <c r="Q28" s="9"/>
      <c r="R28" s="9"/>
      <c r="S28" s="9"/>
      <c r="T28" s="9"/>
      <c r="U28" s="9"/>
      <c r="V28" s="10"/>
      <c r="W28" s="10"/>
      <c r="X28" s="9"/>
      <c r="Y28" s="9"/>
      <c r="Z28" s="9"/>
      <c r="AA28" s="9"/>
      <c r="AB28" s="9"/>
      <c r="AC28" s="10"/>
      <c r="AD28" s="10"/>
      <c r="AE28" s="9"/>
      <c r="AF28" s="9"/>
      <c r="AG28" s="11" t="n">
        <f aca="false">(COUNTIF(C28:AF28,"H")*1)+(COUNTIF(C28:AF28,"H1")*0.5)+(COUNTIF(C28:AF28,"H2")*0.5)+(COUNTIF(C28:AF28,"Q")*0.25)+(COUNTIF(C28:AF28,"I")*1)+(COUNTIF(C28:AF28,"S")*0)+(COUNTIF(C28:AF28,"M")*1)+(COUNTIF(C28:AF28,"C")*0)+(COUNTIF(C28:AF28,"V")*1)+(COUNTIF(C28:AF28,"A")*1)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9"/>
      <c r="F29" s="9"/>
      <c r="G29" s="9"/>
      <c r="H29" s="10"/>
      <c r="I29" s="10"/>
      <c r="J29" s="9"/>
      <c r="K29" s="9"/>
      <c r="L29" s="9"/>
      <c r="M29" s="9"/>
      <c r="N29" s="9"/>
      <c r="O29" s="10"/>
      <c r="P29" s="10"/>
      <c r="Q29" s="9"/>
      <c r="R29" s="9"/>
      <c r="S29" s="9"/>
      <c r="T29" s="9"/>
      <c r="U29" s="9"/>
      <c r="V29" s="10"/>
      <c r="W29" s="10"/>
      <c r="X29" s="9"/>
      <c r="Y29" s="9"/>
      <c r="Z29" s="9"/>
      <c r="AA29" s="9"/>
      <c r="AB29" s="9"/>
      <c r="AC29" s="10"/>
      <c r="AD29" s="10"/>
      <c r="AE29" s="9"/>
      <c r="AF29" s="9"/>
      <c r="AG29" s="11" t="n">
        <f aca="false">(COUNTIF(C29:AF29,"H")*1)+(COUNTIF(C29:AF29,"H1")*0.5)+(COUNTIF(C29:AF29,"H2")*0.5)+(COUNTIF(C29:AF29,"Q")*0.25)+(COUNTIF(C29:AF29,"I")*1)+(COUNTIF(C29:AF29,"S")*0)+(COUNTIF(C29:AF29,"M")*1)+(COUNTIF(C29:AF29,"C")*0)+(COUNTIF(C29:AF29,"V")*1)+(COUNTIF(C29:AF29,"A")*1)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9"/>
      <c r="F30" s="9"/>
      <c r="G30" s="9"/>
      <c r="H30" s="10"/>
      <c r="I30" s="10"/>
      <c r="J30" s="9"/>
      <c r="K30" s="9"/>
      <c r="L30" s="9"/>
      <c r="M30" s="9"/>
      <c r="N30" s="9"/>
      <c r="O30" s="10"/>
      <c r="P30" s="10"/>
      <c r="Q30" s="9"/>
      <c r="R30" s="9"/>
      <c r="S30" s="9"/>
      <c r="T30" s="9"/>
      <c r="U30" s="9"/>
      <c r="V30" s="10"/>
      <c r="W30" s="10"/>
      <c r="X30" s="9"/>
      <c r="Y30" s="9"/>
      <c r="Z30" s="9"/>
      <c r="AA30" s="9"/>
      <c r="AB30" s="9"/>
      <c r="AC30" s="10"/>
      <c r="AD30" s="10"/>
      <c r="AE30" s="9"/>
      <c r="AF30" s="9"/>
      <c r="AG30" s="11" t="n">
        <f aca="false">(COUNTIF(C30:AF30,"H")*1)+(COUNTIF(C30:AF30,"H1")*0.5)+(COUNTIF(C30:AF30,"H2")*0.5)+(COUNTIF(C30:AF30,"Q")*0.25)+(COUNTIF(C30:AF30,"I")*1)+(COUNTIF(C30:AF30,"S")*0)+(COUNTIF(C30:AF30,"M")*1)+(COUNTIF(C30:AF30,"C")*0)+(COUNTIF(C30:AF30,"V")*1)+(COUNTIF(C30:AF30,"A")*1)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9"/>
      <c r="F31" s="9"/>
      <c r="G31" s="9"/>
      <c r="H31" s="10"/>
      <c r="I31" s="10"/>
      <c r="J31" s="9"/>
      <c r="K31" s="9"/>
      <c r="L31" s="9"/>
      <c r="M31" s="9"/>
      <c r="N31" s="9"/>
      <c r="O31" s="10"/>
      <c r="P31" s="10"/>
      <c r="Q31" s="9"/>
      <c r="R31" s="9"/>
      <c r="S31" s="9"/>
      <c r="T31" s="9"/>
      <c r="U31" s="9"/>
      <c r="V31" s="10"/>
      <c r="W31" s="10"/>
      <c r="X31" s="9"/>
      <c r="Y31" s="9"/>
      <c r="Z31" s="9"/>
      <c r="AA31" s="9"/>
      <c r="AB31" s="9"/>
      <c r="AC31" s="10"/>
      <c r="AD31" s="10"/>
      <c r="AE31" s="9"/>
      <c r="AF31" s="9"/>
      <c r="AG31" s="11" t="n">
        <f aca="false">(COUNTIF(C31:AF31,"H")*1)+(COUNTIF(C31:AF31,"H1")*0.5)+(COUNTIF(C31:AF31,"H2")*0.5)+(COUNTIF(C31:AF31,"Q")*0.25)+(COUNTIF(C31:AF31,"I")*1)+(COUNTIF(C31:AF31,"S")*0)+(COUNTIF(C31:AF31,"M")*1)+(COUNTIF(C31:AF31,"C")*0)+(COUNTIF(C31:AF31,"V")*1)+(COUNTIF(C31:AF31,"A")*1)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9"/>
      <c r="F32" s="9"/>
      <c r="G32" s="9"/>
      <c r="H32" s="10"/>
      <c r="I32" s="10"/>
      <c r="J32" s="9"/>
      <c r="K32" s="9"/>
      <c r="L32" s="9"/>
      <c r="M32" s="9"/>
      <c r="N32" s="9"/>
      <c r="O32" s="10"/>
      <c r="P32" s="10"/>
      <c r="Q32" s="9"/>
      <c r="R32" s="9"/>
      <c r="S32" s="9"/>
      <c r="T32" s="9"/>
      <c r="U32" s="9"/>
      <c r="V32" s="10"/>
      <c r="W32" s="10"/>
      <c r="X32" s="9"/>
      <c r="Y32" s="9"/>
      <c r="Z32" s="9"/>
      <c r="AA32" s="9"/>
      <c r="AB32" s="9"/>
      <c r="AC32" s="10"/>
      <c r="AD32" s="10"/>
      <c r="AE32" s="9"/>
      <c r="AF32" s="9"/>
      <c r="AG32" s="11" t="n">
        <f aca="false">(COUNTIF(C32:AF32,"H")*1)+(COUNTIF(C32:AF32,"H1")*0.5)+(COUNTIF(C32:AF32,"H2")*0.5)+(COUNTIF(C32:AF32,"Q")*0.25)+(COUNTIF(C32:AF32,"I")*1)+(COUNTIF(C32:AF32,"S")*0)+(COUNTIF(C32:AF32,"M")*1)+(COUNTIF(C32:AF32,"C")*0)+(COUNTIF(C32:AF32,"V")*1)+(COUNTIF(C32:AF32,"A")*1)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9"/>
      <c r="F33" s="9"/>
      <c r="G33" s="9"/>
      <c r="H33" s="10"/>
      <c r="I33" s="10"/>
      <c r="J33" s="9"/>
      <c r="K33" s="9"/>
      <c r="L33" s="9"/>
      <c r="M33" s="9"/>
      <c r="N33" s="9"/>
      <c r="O33" s="10"/>
      <c r="P33" s="10"/>
      <c r="Q33" s="9"/>
      <c r="R33" s="9"/>
      <c r="S33" s="9"/>
      <c r="T33" s="9"/>
      <c r="U33" s="9"/>
      <c r="V33" s="10"/>
      <c r="W33" s="10"/>
      <c r="X33" s="9"/>
      <c r="Y33" s="9"/>
      <c r="Z33" s="9"/>
      <c r="AA33" s="9"/>
      <c r="AB33" s="9"/>
      <c r="AC33" s="10"/>
      <c r="AD33" s="10"/>
      <c r="AE33" s="9"/>
      <c r="AF33" s="9"/>
      <c r="AG33" s="11" t="n">
        <f aca="false">(COUNTIF(C33:AF33,"H")*1)+(COUNTIF(C33:AF33,"H1")*0.5)+(COUNTIF(C33:AF33,"H2")*0.5)+(COUNTIF(C33:AF33,"Q")*0.25)+(COUNTIF(C33:AF33,"I")*1)+(COUNTIF(C33:AF33,"S")*0)+(COUNTIF(C33:AF33,"M")*1)+(COUNTIF(C33:AF33,"C")*0)+(COUNTIF(C33:AF33,"V")*1)+(COUNTIF(C33:AF33,"A")*1)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9"/>
      <c r="F34" s="9"/>
      <c r="G34" s="9"/>
      <c r="H34" s="10"/>
      <c r="I34" s="10"/>
      <c r="J34" s="9"/>
      <c r="K34" s="9"/>
      <c r="L34" s="9"/>
      <c r="M34" s="9"/>
      <c r="N34" s="9"/>
      <c r="O34" s="10"/>
      <c r="P34" s="10"/>
      <c r="Q34" s="9"/>
      <c r="R34" s="9"/>
      <c r="S34" s="9"/>
      <c r="T34" s="9"/>
      <c r="U34" s="9"/>
      <c r="V34" s="10"/>
      <c r="W34" s="10"/>
      <c r="X34" s="9"/>
      <c r="Y34" s="9"/>
      <c r="Z34" s="9"/>
      <c r="AA34" s="9"/>
      <c r="AB34" s="9"/>
      <c r="AC34" s="10"/>
      <c r="AD34" s="10"/>
      <c r="AE34" s="9"/>
      <c r="AF34" s="9"/>
      <c r="AG34" s="11" t="n">
        <f aca="false">(COUNTIF(C34:AF34,"H")*1)+(COUNTIF(C34:AF34,"H1")*0.5)+(COUNTIF(C34:AF34,"H2")*0.5)+(COUNTIF(C34:AF34,"Q")*0.25)+(COUNTIF(C34:AF34,"I")*1)+(COUNTIF(C34:AF34,"S")*0)+(COUNTIF(C34:AF34,"M")*1)+(COUNTIF(C34:AF34,"C")*0)+(COUNTIF(C34:AF34,"V")*1)+(COUNTIF(C34:AF34,"A")*1)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9"/>
      <c r="F35" s="9"/>
      <c r="G35" s="9"/>
      <c r="H35" s="10"/>
      <c r="I35" s="10"/>
      <c r="J35" s="9"/>
      <c r="K35" s="9"/>
      <c r="L35" s="9"/>
      <c r="M35" s="9"/>
      <c r="N35" s="9"/>
      <c r="O35" s="10"/>
      <c r="P35" s="10"/>
      <c r="Q35" s="9"/>
      <c r="R35" s="9"/>
      <c r="S35" s="9"/>
      <c r="T35" s="9"/>
      <c r="U35" s="9"/>
      <c r="V35" s="10"/>
      <c r="W35" s="10"/>
      <c r="X35" s="9"/>
      <c r="Y35" s="9"/>
      <c r="Z35" s="9"/>
      <c r="AA35" s="9"/>
      <c r="AB35" s="9"/>
      <c r="AC35" s="10"/>
      <c r="AD35" s="10"/>
      <c r="AE35" s="9"/>
      <c r="AF35" s="9"/>
      <c r="AG35" s="11" t="n">
        <f aca="false">(COUNTIF(C35:AF35,"H")*1)+(COUNTIF(C35:AF35,"H1")*0.5)+(COUNTIF(C35:AF35,"H2")*0.5)+(COUNTIF(C35:AF35,"Q")*0.25)+(COUNTIF(C35:AF35,"I")*1)+(COUNTIF(C35:AF35,"S")*0)+(COUNTIF(C35:AF35,"M")*1)+(COUNTIF(C35:AF35,"C")*0)+(COUNTIF(C35:AF35,"V")*1)+(COUNTIF(C35:AF35,"A")*1)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9"/>
      <c r="F36" s="9"/>
      <c r="G36" s="9"/>
      <c r="H36" s="10"/>
      <c r="I36" s="10"/>
      <c r="J36" s="9"/>
      <c r="K36" s="9"/>
      <c r="L36" s="9"/>
      <c r="M36" s="9"/>
      <c r="N36" s="9"/>
      <c r="O36" s="10"/>
      <c r="P36" s="10"/>
      <c r="Q36" s="9"/>
      <c r="R36" s="9"/>
      <c r="S36" s="9"/>
      <c r="T36" s="9"/>
      <c r="U36" s="9"/>
      <c r="V36" s="10"/>
      <c r="W36" s="10"/>
      <c r="X36" s="9"/>
      <c r="Y36" s="9"/>
      <c r="Z36" s="9"/>
      <c r="AA36" s="9"/>
      <c r="AB36" s="9"/>
      <c r="AC36" s="10"/>
      <c r="AD36" s="10"/>
      <c r="AE36" s="9"/>
      <c r="AF36" s="9"/>
      <c r="AG36" s="11" t="n">
        <f aca="false">(COUNTIF(C36:AF36,"H")*1)+(COUNTIF(C36:AF36,"H1")*0.5)+(COUNTIF(C36:AF36,"H2")*0.5)+(COUNTIF(C36:AF36,"Q")*0.25)+(COUNTIF(C36:AF36,"I")*1)+(COUNTIF(C36:AF36,"S")*0)+(COUNTIF(C36:AF36,"M")*1)+(COUNTIF(C36:AF36,"C")*0)+(COUNTIF(C36:AF36,"V")*1)+(COUNTIF(C36:AF36,"A")*1)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9"/>
      <c r="F37" s="9"/>
      <c r="G37" s="9"/>
      <c r="H37" s="10"/>
      <c r="I37" s="10"/>
      <c r="J37" s="9"/>
      <c r="K37" s="9"/>
      <c r="L37" s="9"/>
      <c r="M37" s="9"/>
      <c r="N37" s="9"/>
      <c r="O37" s="10"/>
      <c r="P37" s="10"/>
      <c r="Q37" s="9"/>
      <c r="R37" s="9"/>
      <c r="S37" s="9"/>
      <c r="T37" s="9"/>
      <c r="U37" s="9"/>
      <c r="V37" s="10"/>
      <c r="W37" s="10"/>
      <c r="X37" s="9"/>
      <c r="Y37" s="9"/>
      <c r="Z37" s="9"/>
      <c r="AA37" s="9"/>
      <c r="AB37" s="9"/>
      <c r="AC37" s="10"/>
      <c r="AD37" s="10"/>
      <c r="AE37" s="9"/>
      <c r="AF37" s="9"/>
      <c r="AG37" s="11" t="n">
        <f aca="false">(COUNTIF(C37:AF37,"H")*1)+(COUNTIF(C37:AF37,"H1")*0.5)+(COUNTIF(C37:AF37,"H2")*0.5)+(COUNTIF(C37:AF37,"Q")*0.25)+(COUNTIF(C37:AF37,"I")*1)+(COUNTIF(C37:AF37,"S")*0)+(COUNTIF(C37:AF37,"M")*1)+(COUNTIF(C37:AF37,"C")*0)+(COUNTIF(C37:AF37,"V")*1)+(COUNTIF(C37:AF37,"A")*1)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9"/>
      <c r="F38" s="9"/>
      <c r="G38" s="9"/>
      <c r="H38" s="10"/>
      <c r="I38" s="10"/>
      <c r="J38" s="9"/>
      <c r="K38" s="9"/>
      <c r="L38" s="9"/>
      <c r="M38" s="9"/>
      <c r="N38" s="9"/>
      <c r="O38" s="10"/>
      <c r="P38" s="10"/>
      <c r="Q38" s="9"/>
      <c r="R38" s="9"/>
      <c r="S38" s="9"/>
      <c r="T38" s="9"/>
      <c r="U38" s="9"/>
      <c r="V38" s="10"/>
      <c r="W38" s="10"/>
      <c r="X38" s="9"/>
      <c r="Y38" s="9"/>
      <c r="Z38" s="9"/>
      <c r="AA38" s="9"/>
      <c r="AB38" s="9"/>
      <c r="AC38" s="10"/>
      <c r="AD38" s="10"/>
      <c r="AE38" s="9"/>
      <c r="AF38" s="9"/>
      <c r="AG38" s="11" t="n">
        <f aca="false">(COUNTIF(C38:AF38,"H")*1)+(COUNTIF(C38:AF38,"H1")*0.5)+(COUNTIF(C38:AF38,"H2")*0.5)+(COUNTIF(C38:AF38,"Q")*0.25)+(COUNTIF(C38:AF38,"I")*1)+(COUNTIF(C38:AF38,"S")*0)+(COUNTIF(C38:AF38,"M")*1)+(COUNTIF(C38:AF38,"C")*0)+(COUNTIF(C38:AF38,"V")*1)+(COUNTIF(C38:AF38,"A")*1)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9"/>
      <c r="F39" s="9"/>
      <c r="G39" s="9"/>
      <c r="H39" s="10"/>
      <c r="I39" s="10"/>
      <c r="J39" s="9"/>
      <c r="K39" s="9"/>
      <c r="L39" s="9"/>
      <c r="M39" s="9"/>
      <c r="N39" s="9"/>
      <c r="O39" s="10"/>
      <c r="P39" s="10"/>
      <c r="Q39" s="9"/>
      <c r="R39" s="9"/>
      <c r="S39" s="9"/>
      <c r="T39" s="9"/>
      <c r="U39" s="9"/>
      <c r="V39" s="10"/>
      <c r="W39" s="10"/>
      <c r="X39" s="9"/>
      <c r="Y39" s="9"/>
      <c r="Z39" s="9"/>
      <c r="AA39" s="9"/>
      <c r="AB39" s="9"/>
      <c r="AC39" s="10"/>
      <c r="AD39" s="10"/>
      <c r="AE39" s="9"/>
      <c r="AF39" s="9"/>
      <c r="AG39" s="11" t="n">
        <f aca="false">(COUNTIF(C39:AF39,"H")*1)+(COUNTIF(C39:AF39,"H1")*0.5)+(COUNTIF(C39:AF39,"H2")*0.5)+(COUNTIF(C39:AF39,"Q")*0.25)+(COUNTIF(C39:AF39,"I")*1)+(COUNTIF(C39:AF39,"S")*0)+(COUNTIF(C39:AF39,"M")*1)+(COUNTIF(C39:AF39,"C")*0)+(COUNTIF(C39:AF39,"V")*1)+(COUNTIF(C39:AF39,"A")*1)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9"/>
      <c r="F40" s="9"/>
      <c r="G40" s="9"/>
      <c r="H40" s="10"/>
      <c r="I40" s="10"/>
      <c r="J40" s="9"/>
      <c r="K40" s="9"/>
      <c r="L40" s="9"/>
      <c r="M40" s="9"/>
      <c r="N40" s="9"/>
      <c r="O40" s="10"/>
      <c r="P40" s="10"/>
      <c r="Q40" s="9"/>
      <c r="R40" s="9"/>
      <c r="S40" s="9"/>
      <c r="T40" s="9"/>
      <c r="U40" s="9"/>
      <c r="V40" s="10"/>
      <c r="W40" s="10"/>
      <c r="X40" s="9"/>
      <c r="Y40" s="9"/>
      <c r="Z40" s="9"/>
      <c r="AA40" s="9"/>
      <c r="AB40" s="9"/>
      <c r="AC40" s="10"/>
      <c r="AD40" s="10"/>
      <c r="AE40" s="9"/>
      <c r="AF40" s="9"/>
      <c r="AG40" s="11" t="n">
        <f aca="false">(COUNTIF(C40:AF40,"H")*1)+(COUNTIF(C40:AF40,"H1")*0.5)+(COUNTIF(C40:AF40,"H2")*0.5)+(COUNTIF(C40:AF40,"Q")*0.25)+(COUNTIF(C40:AF40,"I")*1)+(COUNTIF(C40:AF40,"S")*0)+(COUNTIF(C40:AF40,"M")*1)+(COUNTIF(C40:AF40,"C")*0)+(COUNTIF(C40:AF40,"V")*1)+(COUNTIF(C40:AF40,"A")*1)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9"/>
      <c r="F41" s="9"/>
      <c r="G41" s="9"/>
      <c r="H41" s="10"/>
      <c r="I41" s="10"/>
      <c r="J41" s="9"/>
      <c r="K41" s="9"/>
      <c r="L41" s="9"/>
      <c r="M41" s="9"/>
      <c r="N41" s="9"/>
      <c r="O41" s="10"/>
      <c r="P41" s="10"/>
      <c r="Q41" s="9"/>
      <c r="R41" s="9"/>
      <c r="S41" s="9"/>
      <c r="T41" s="9"/>
      <c r="U41" s="9"/>
      <c r="V41" s="10"/>
      <c r="W41" s="10"/>
      <c r="X41" s="9"/>
      <c r="Y41" s="9"/>
      <c r="Z41" s="9"/>
      <c r="AA41" s="9"/>
      <c r="AB41" s="9"/>
      <c r="AC41" s="10"/>
      <c r="AD41" s="10"/>
      <c r="AE41" s="9"/>
      <c r="AF41" s="9"/>
      <c r="AG41" s="11" t="n">
        <f aca="false">(COUNTIF(C41:AF41,"H")*1)+(COUNTIF(C41:AF41,"H1")*0.5)+(COUNTIF(C41:AF41,"H2")*0.5)+(COUNTIF(C41:AF41,"Q")*0.25)+(COUNTIF(C41:AF41,"I")*1)+(COUNTIF(C41:AF41,"S")*0)+(COUNTIF(C41:AF41,"M")*1)+(COUNTIF(C41:AF41,"C")*0)+(COUNTIF(C41:AF41,"V")*1)+(COUNTIF(C41:AF41,"A")*1)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9"/>
      <c r="F42" s="9"/>
      <c r="G42" s="9"/>
      <c r="H42" s="10"/>
      <c r="I42" s="10"/>
      <c r="J42" s="9"/>
      <c r="K42" s="9"/>
      <c r="L42" s="9"/>
      <c r="M42" s="9"/>
      <c r="N42" s="9"/>
      <c r="O42" s="10"/>
      <c r="P42" s="10"/>
      <c r="Q42" s="9"/>
      <c r="R42" s="9"/>
      <c r="S42" s="9"/>
      <c r="T42" s="9"/>
      <c r="U42" s="9"/>
      <c r="V42" s="10"/>
      <c r="W42" s="10"/>
      <c r="X42" s="9"/>
      <c r="Y42" s="9"/>
      <c r="Z42" s="9"/>
      <c r="AA42" s="9"/>
      <c r="AB42" s="9"/>
      <c r="AC42" s="10"/>
      <c r="AD42" s="10"/>
      <c r="AE42" s="9"/>
      <c r="AF42" s="9"/>
      <c r="AG42" s="11" t="n">
        <f aca="false">(COUNTIF(C42:AF42,"H")*1)+(COUNTIF(C42:AF42,"H1")*0.5)+(COUNTIF(C42:AF42,"H2")*0.5)+(COUNTIF(C42:AF42,"Q")*0.25)+(COUNTIF(C42:AF42,"I")*1)+(COUNTIF(C42:AF42,"S")*0)+(COUNTIF(C42:AF42,"M")*1)+(COUNTIF(C42:AF42,"C")*0)+(COUNTIF(C42:AF42,"V")*1)+(COUNTIF(C42:AF42,"A")*1)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9"/>
      <c r="F43" s="9"/>
      <c r="G43" s="9"/>
      <c r="H43" s="10"/>
      <c r="I43" s="10"/>
      <c r="J43" s="9"/>
      <c r="K43" s="9"/>
      <c r="L43" s="9"/>
      <c r="M43" s="9"/>
      <c r="N43" s="9"/>
      <c r="O43" s="10"/>
      <c r="P43" s="10"/>
      <c r="Q43" s="9"/>
      <c r="R43" s="9"/>
      <c r="S43" s="9"/>
      <c r="T43" s="9"/>
      <c r="U43" s="9"/>
      <c r="V43" s="10"/>
      <c r="W43" s="10"/>
      <c r="X43" s="9"/>
      <c r="Y43" s="9"/>
      <c r="Z43" s="9"/>
      <c r="AA43" s="9"/>
      <c r="AB43" s="9"/>
      <c r="AC43" s="10"/>
      <c r="AD43" s="10"/>
      <c r="AE43" s="9"/>
      <c r="AF43" s="9"/>
      <c r="AG43" s="11" t="n">
        <f aca="false">(COUNTIF(C43:AF43,"H")*1)+(COUNTIF(C43:AF43,"H1")*0.5)+(COUNTIF(C43:AF43,"H2")*0.5)+(COUNTIF(C43:AF43,"Q")*0.25)+(COUNTIF(C43:AF43,"I")*1)+(COUNTIF(C43:AF43,"S")*0)+(COUNTIF(C43:AF43,"M")*1)+(COUNTIF(C43:AF43,"C")*0)+(COUNTIF(C43:AF43,"V")*1)+(COUNTIF(C43:AF43,"A")*1)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9"/>
      <c r="F44" s="9"/>
      <c r="G44" s="9"/>
      <c r="H44" s="10"/>
      <c r="I44" s="10"/>
      <c r="J44" s="9"/>
      <c r="K44" s="9"/>
      <c r="L44" s="9"/>
      <c r="M44" s="9"/>
      <c r="N44" s="9"/>
      <c r="O44" s="10"/>
      <c r="P44" s="10"/>
      <c r="Q44" s="9"/>
      <c r="R44" s="9"/>
      <c r="S44" s="9"/>
      <c r="T44" s="9"/>
      <c r="U44" s="9"/>
      <c r="V44" s="10"/>
      <c r="W44" s="10"/>
      <c r="X44" s="9"/>
      <c r="Y44" s="9"/>
      <c r="Z44" s="9"/>
      <c r="AA44" s="9"/>
      <c r="AB44" s="9"/>
      <c r="AC44" s="10"/>
      <c r="AD44" s="10"/>
      <c r="AE44" s="9"/>
      <c r="AF44" s="9"/>
      <c r="AG44" s="11" t="n">
        <f aca="false">(COUNTIF(C44:AF44,"H")*1)+(COUNTIF(C44:AF44,"H1")*0.5)+(COUNTIF(C44:AF44,"H2")*0.5)+(COUNTIF(C44:AF44,"Q")*0.25)+(COUNTIF(C44:AF44,"I")*1)+(COUNTIF(C44:AF44,"S")*0)+(COUNTIF(C44:AF44,"M")*1)+(COUNTIF(C44:AF44,"C")*0)+(COUNTIF(C44:AF44,"V")*1)+(COUNTIF(C44:AF44,"A")*1)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9"/>
      <c r="F45" s="9"/>
      <c r="G45" s="9"/>
      <c r="H45" s="10"/>
      <c r="I45" s="10"/>
      <c r="J45" s="9"/>
      <c r="K45" s="9"/>
      <c r="L45" s="9"/>
      <c r="M45" s="9"/>
      <c r="N45" s="9"/>
      <c r="O45" s="10"/>
      <c r="P45" s="10"/>
      <c r="Q45" s="9"/>
      <c r="R45" s="9"/>
      <c r="S45" s="9"/>
      <c r="T45" s="9"/>
      <c r="U45" s="9"/>
      <c r="V45" s="10"/>
      <c r="W45" s="10"/>
      <c r="X45" s="9"/>
      <c r="Y45" s="9"/>
      <c r="Z45" s="9"/>
      <c r="AA45" s="9"/>
      <c r="AB45" s="9"/>
      <c r="AC45" s="10"/>
      <c r="AD45" s="10"/>
      <c r="AE45" s="9"/>
      <c r="AF45" s="9"/>
      <c r="AG45" s="11" t="n">
        <f aca="false">(COUNTIF(C45:AF45,"H")*1)+(COUNTIF(C45:AF45,"H1")*0.5)+(COUNTIF(C45:AF45,"H2")*0.5)+(COUNTIF(C45:AF45,"Q")*0.25)+(COUNTIF(C45:AF45,"I")*1)+(COUNTIF(C45:AF45,"S")*0)+(COUNTIF(C45:AF45,"M")*1)+(COUNTIF(C45:AF45,"C")*0)+(COUNTIF(C45:AF45,"V")*1)+(COUNTIF(C45:AF45,"A")*1)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9"/>
      <c r="F46" s="9"/>
      <c r="G46" s="9"/>
      <c r="H46" s="10"/>
      <c r="I46" s="10"/>
      <c r="J46" s="9"/>
      <c r="K46" s="9"/>
      <c r="L46" s="9"/>
      <c r="M46" s="9"/>
      <c r="N46" s="9"/>
      <c r="O46" s="10"/>
      <c r="P46" s="10"/>
      <c r="Q46" s="9"/>
      <c r="R46" s="9"/>
      <c r="S46" s="9"/>
      <c r="T46" s="9"/>
      <c r="U46" s="9"/>
      <c r="V46" s="10"/>
      <c r="W46" s="10"/>
      <c r="X46" s="9"/>
      <c r="Y46" s="9"/>
      <c r="Z46" s="9"/>
      <c r="AA46" s="9"/>
      <c r="AB46" s="9"/>
      <c r="AC46" s="10"/>
      <c r="AD46" s="10"/>
      <c r="AE46" s="9"/>
      <c r="AF46" s="9"/>
      <c r="AG46" s="11" t="n">
        <f aca="false">(COUNTIF(C46:AF46,"H")*1)+(COUNTIF(C46:AF46,"H1")*0.5)+(COUNTIF(C46:AF46,"H2")*0.5)+(COUNTIF(C46:AF46,"Q")*0.25)+(COUNTIF(C46:AF46,"I")*1)+(COUNTIF(C46:AF46,"S")*0)+(COUNTIF(C46:AF46,"M")*1)+(COUNTIF(C46:AF46,"C")*0)+(COUNTIF(C46:AF46,"V")*1)+(COUNTIF(C46:AF46,"A")*1)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9"/>
      <c r="F47" s="9"/>
      <c r="G47" s="9"/>
      <c r="H47" s="10"/>
      <c r="I47" s="10"/>
      <c r="J47" s="9"/>
      <c r="K47" s="9"/>
      <c r="L47" s="9"/>
      <c r="M47" s="9"/>
      <c r="N47" s="9"/>
      <c r="O47" s="10"/>
      <c r="P47" s="10"/>
      <c r="Q47" s="9"/>
      <c r="R47" s="9"/>
      <c r="S47" s="9"/>
      <c r="T47" s="9"/>
      <c r="U47" s="9"/>
      <c r="V47" s="10"/>
      <c r="W47" s="10"/>
      <c r="X47" s="9"/>
      <c r="Y47" s="9"/>
      <c r="Z47" s="9"/>
      <c r="AA47" s="9"/>
      <c r="AB47" s="9"/>
      <c r="AC47" s="10"/>
      <c r="AD47" s="10"/>
      <c r="AE47" s="9"/>
      <c r="AF47" s="9"/>
      <c r="AG47" s="11" t="n">
        <f aca="false">(COUNTIF(C47:AF47,"H")*1)+(COUNTIF(C47:AF47,"H1")*0.5)+(COUNTIF(C47:AF47,"H2")*0.5)+(COUNTIF(C47:AF47,"Q")*0.25)+(COUNTIF(C47:AF47,"I")*1)+(COUNTIF(C47:AF47,"S")*0)+(COUNTIF(C47:AF47,"M")*1)+(COUNTIF(C47:AF47,"C")*0)+(COUNTIF(C47:AF47,"V")*1)+(COUNTIF(C47:AF47,"A")*1)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9"/>
      <c r="F48" s="9"/>
      <c r="G48" s="9"/>
      <c r="H48" s="10"/>
      <c r="I48" s="10"/>
      <c r="J48" s="9"/>
      <c r="K48" s="9"/>
      <c r="L48" s="9"/>
      <c r="M48" s="9"/>
      <c r="N48" s="9"/>
      <c r="O48" s="10"/>
      <c r="P48" s="10"/>
      <c r="Q48" s="9"/>
      <c r="R48" s="9"/>
      <c r="S48" s="9"/>
      <c r="T48" s="9"/>
      <c r="U48" s="9"/>
      <c r="V48" s="10"/>
      <c r="W48" s="10"/>
      <c r="X48" s="9"/>
      <c r="Y48" s="9"/>
      <c r="Z48" s="9"/>
      <c r="AA48" s="9"/>
      <c r="AB48" s="9"/>
      <c r="AC48" s="10"/>
      <c r="AD48" s="10"/>
      <c r="AE48" s="9"/>
      <c r="AF48" s="9"/>
      <c r="AG48" s="11" t="n">
        <f aca="false">(COUNTIF(C48:AF48,"H")*1)+(COUNTIF(C48:AF48,"H1")*0.5)+(COUNTIF(C48:AF48,"H2")*0.5)+(COUNTIF(C48:AF48,"Q")*0.25)+(COUNTIF(C48:AF48,"I")*1)+(COUNTIF(C48:AF48,"S")*0)+(COUNTIF(C48:AF48,"M")*1)+(COUNTIF(C48:AF48,"C")*0)+(COUNTIF(C48:AF48,"V")*1)+(COUNTIF(C48:AF48,"A")*1)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9"/>
      <c r="F49" s="9"/>
      <c r="G49" s="9"/>
      <c r="H49" s="10"/>
      <c r="I49" s="10"/>
      <c r="J49" s="9"/>
      <c r="K49" s="9"/>
      <c r="L49" s="9"/>
      <c r="M49" s="9"/>
      <c r="N49" s="9"/>
      <c r="O49" s="10"/>
      <c r="P49" s="10"/>
      <c r="Q49" s="9"/>
      <c r="R49" s="9"/>
      <c r="S49" s="9"/>
      <c r="T49" s="9"/>
      <c r="U49" s="9"/>
      <c r="V49" s="10"/>
      <c r="W49" s="10"/>
      <c r="X49" s="9"/>
      <c r="Y49" s="9"/>
      <c r="Z49" s="9"/>
      <c r="AA49" s="9"/>
      <c r="AB49" s="9"/>
      <c r="AC49" s="10"/>
      <c r="AD49" s="10"/>
      <c r="AE49" s="9"/>
      <c r="AF49" s="9"/>
      <c r="AG49" s="11" t="n">
        <f aca="false">(COUNTIF(C49:AF49,"H")*1)+(COUNTIF(C49:AF49,"H1")*0.5)+(COUNTIF(C49:AF49,"H2")*0.5)+(COUNTIF(C49:AF49,"Q")*0.25)+(COUNTIF(C49:AF49,"I")*1)+(COUNTIF(C49:AF49,"S")*0)+(COUNTIF(C49:AF49,"M")*1)+(COUNTIF(C49:AF49,"C")*0)+(COUNTIF(C49:AF49,"V")*1)+(COUNTIF(C49:AF49,"A")*1)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9"/>
      <c r="F50" s="9"/>
      <c r="G50" s="9"/>
      <c r="H50" s="10"/>
      <c r="I50" s="10"/>
      <c r="J50" s="9"/>
      <c r="K50" s="9"/>
      <c r="L50" s="9"/>
      <c r="M50" s="9"/>
      <c r="N50" s="9"/>
      <c r="O50" s="10"/>
      <c r="P50" s="10"/>
      <c r="Q50" s="9"/>
      <c r="R50" s="9"/>
      <c r="S50" s="9"/>
      <c r="T50" s="9"/>
      <c r="U50" s="9"/>
      <c r="V50" s="10"/>
      <c r="W50" s="10"/>
      <c r="X50" s="9"/>
      <c r="Y50" s="9"/>
      <c r="Z50" s="9"/>
      <c r="AA50" s="9"/>
      <c r="AB50" s="9"/>
      <c r="AC50" s="10"/>
      <c r="AD50" s="10"/>
      <c r="AE50" s="9"/>
      <c r="AF50" s="9"/>
      <c r="AG50" s="11" t="n">
        <f aca="false">(COUNTIF(C50:AF50,"H")*1)+(COUNTIF(C50:AF50,"H1")*0.5)+(COUNTIF(C50:AF50,"H2")*0.5)+(COUNTIF(C50:AF50,"Q")*0.25)+(COUNTIF(C50:AF50,"I")*1)+(COUNTIF(C50:AF50,"S")*0)+(COUNTIF(C50:AF50,"M")*1)+(COUNTIF(C50:AF50,"C")*0)+(COUNTIF(C50:AF50,"V")*1)+(COUNTIF(C50:AF50,"A")*1)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9"/>
      <c r="F51" s="9"/>
      <c r="G51" s="9"/>
      <c r="H51" s="10"/>
      <c r="I51" s="10"/>
      <c r="J51" s="9"/>
      <c r="K51" s="9"/>
      <c r="L51" s="9"/>
      <c r="M51" s="9"/>
      <c r="N51" s="9"/>
      <c r="O51" s="10"/>
      <c r="P51" s="10"/>
      <c r="Q51" s="9"/>
      <c r="R51" s="9"/>
      <c r="S51" s="9"/>
      <c r="T51" s="9"/>
      <c r="U51" s="9"/>
      <c r="V51" s="10"/>
      <c r="W51" s="10"/>
      <c r="X51" s="9"/>
      <c r="Y51" s="9"/>
      <c r="Z51" s="9"/>
      <c r="AA51" s="9"/>
      <c r="AB51" s="9"/>
      <c r="AC51" s="10"/>
      <c r="AD51" s="10"/>
      <c r="AE51" s="9"/>
      <c r="AF51" s="9"/>
      <c r="AG51" s="11" t="n">
        <f aca="false">(COUNTIF(C51:AF51,"H")*1)+(COUNTIF(C51:AF51,"H1")*0.5)+(COUNTIF(C51:AF51,"H2")*0.5)+(COUNTIF(C51:AF51,"Q")*0.25)+(COUNTIF(C51:AF51,"I")*1)+(COUNTIF(C51:AF51,"S")*0)+(COUNTIF(C51:AF51,"M")*1)+(COUNTIF(C51:AF51,"C")*0)+(COUNTIF(C51:AF51,"V")*1)+(COUNTIF(C51:AF51,"A")*1)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9"/>
      <c r="F52" s="9"/>
      <c r="G52" s="9"/>
      <c r="H52" s="10"/>
      <c r="I52" s="10"/>
      <c r="J52" s="9"/>
      <c r="K52" s="9"/>
      <c r="L52" s="9"/>
      <c r="M52" s="9"/>
      <c r="N52" s="9"/>
      <c r="O52" s="10"/>
      <c r="P52" s="10"/>
      <c r="Q52" s="9"/>
      <c r="R52" s="9"/>
      <c r="S52" s="9"/>
      <c r="T52" s="9"/>
      <c r="U52" s="9"/>
      <c r="V52" s="10"/>
      <c r="W52" s="10"/>
      <c r="X52" s="9"/>
      <c r="Y52" s="9"/>
      <c r="Z52" s="9"/>
      <c r="AA52" s="9"/>
      <c r="AB52" s="9"/>
      <c r="AC52" s="10"/>
      <c r="AD52" s="10"/>
      <c r="AE52" s="9"/>
      <c r="AF52" s="9"/>
      <c r="AG52" s="11" t="n">
        <f aca="false">(COUNTIF(C52:AF52,"H")*1)+(COUNTIF(C52:AF52,"H1")*0.5)+(COUNTIF(C52:AF52,"H2")*0.5)+(COUNTIF(C52:AF52,"Q")*0.25)+(COUNTIF(C52:AF52,"I")*1)+(COUNTIF(C52:AF52,"S")*0)+(COUNTIF(C52:AF52,"M")*1)+(COUNTIF(C52:AF52,"C")*0)+(COUNTIF(C52:AF52,"V")*1)+(COUNTIF(C52:AF52,"A")*1)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9"/>
      <c r="F53" s="9"/>
      <c r="G53" s="9"/>
      <c r="H53" s="10"/>
      <c r="I53" s="10"/>
      <c r="J53" s="9"/>
      <c r="K53" s="9"/>
      <c r="L53" s="9"/>
      <c r="M53" s="9"/>
      <c r="N53" s="9"/>
      <c r="O53" s="10"/>
      <c r="P53" s="10"/>
      <c r="Q53" s="9"/>
      <c r="R53" s="9"/>
      <c r="S53" s="9"/>
      <c r="T53" s="9"/>
      <c r="U53" s="9"/>
      <c r="V53" s="10"/>
      <c r="W53" s="10"/>
      <c r="X53" s="9"/>
      <c r="Y53" s="9"/>
      <c r="Z53" s="9"/>
      <c r="AA53" s="9"/>
      <c r="AB53" s="9"/>
      <c r="AC53" s="10"/>
      <c r="AD53" s="10"/>
      <c r="AE53" s="9"/>
      <c r="AF53" s="9"/>
      <c r="AG53" s="11" t="n">
        <f aca="false">(COUNTIF(C53:AF53,"H")*1)+(COUNTIF(C53:AF53,"H1")*0.5)+(COUNTIF(C53:AF53,"H2")*0.5)+(COUNTIF(C53:AF53,"Q")*0.25)+(COUNTIF(C53:AF53,"I")*1)+(COUNTIF(C53:AF53,"S")*0)+(COUNTIF(C53:AF53,"M")*1)+(COUNTIF(C53:AF53,"C")*0)+(COUNTIF(C53:AF53,"V")*1)+(COUNTIF(C53:AF53,"A")*1)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9"/>
      <c r="F54" s="9"/>
      <c r="G54" s="9"/>
      <c r="H54" s="10"/>
      <c r="I54" s="10"/>
      <c r="J54" s="9"/>
      <c r="K54" s="9"/>
      <c r="L54" s="9"/>
      <c r="M54" s="9"/>
      <c r="N54" s="9"/>
      <c r="O54" s="10"/>
      <c r="P54" s="10"/>
      <c r="Q54" s="9"/>
      <c r="R54" s="9"/>
      <c r="S54" s="9"/>
      <c r="T54" s="9"/>
      <c r="U54" s="9"/>
      <c r="V54" s="10"/>
      <c r="W54" s="10"/>
      <c r="X54" s="9"/>
      <c r="Y54" s="9"/>
      <c r="Z54" s="9"/>
      <c r="AA54" s="9"/>
      <c r="AB54" s="9"/>
      <c r="AC54" s="10"/>
      <c r="AD54" s="10"/>
      <c r="AE54" s="9"/>
      <c r="AF54" s="9"/>
      <c r="AG54" s="11" t="n">
        <f aca="false">(COUNTIF(C54:AF54,"H")*1)+(COUNTIF(C54:AF54,"H1")*0.5)+(COUNTIF(C54:AF54,"H2")*0.5)+(COUNTIF(C54:AF54,"Q")*0.25)+(COUNTIF(C54:AF54,"I")*1)+(COUNTIF(C54:AF54,"S")*0)+(COUNTIF(C54:AF54,"M")*1)+(COUNTIF(C54:AF54,"C")*0)+(COUNTIF(C54:AF54,"V")*1)+(COUNTIF(C54:AF54,"A")*1)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9"/>
      <c r="F55" s="9"/>
      <c r="G55" s="9"/>
      <c r="H55" s="10"/>
      <c r="I55" s="10"/>
      <c r="J55" s="9"/>
      <c r="K55" s="9"/>
      <c r="L55" s="9"/>
      <c r="M55" s="9"/>
      <c r="N55" s="9"/>
      <c r="O55" s="10"/>
      <c r="P55" s="10"/>
      <c r="Q55" s="9"/>
      <c r="R55" s="9"/>
      <c r="S55" s="9"/>
      <c r="T55" s="9"/>
      <c r="U55" s="9"/>
      <c r="V55" s="10"/>
      <c r="W55" s="10"/>
      <c r="X55" s="9"/>
      <c r="Y55" s="9"/>
      <c r="Z55" s="9"/>
      <c r="AA55" s="9"/>
      <c r="AB55" s="9"/>
      <c r="AC55" s="10"/>
      <c r="AD55" s="10"/>
      <c r="AE55" s="9"/>
      <c r="AF55" s="9"/>
      <c r="AG55" s="11" t="n">
        <f aca="false">(COUNTIF(C55:AF55,"H")*1)+(COUNTIF(C55:AF55,"H1")*0.5)+(COUNTIF(C55:AF55,"H2")*0.5)+(COUNTIF(C55:AF55,"Q")*0.25)+(COUNTIF(C55:AF55,"I")*1)+(COUNTIF(C55:AF55,"S")*0)+(COUNTIF(C55:AF55,"M")*1)+(COUNTIF(C55:AF55,"C")*0)+(COUNTIF(C55:AF55,"V")*1)+(COUNTIF(C55:AF55,"A")*1)</f>
        <v>0</v>
      </c>
    </row>
    <row r="57" customFormat="false" ht="15.75" hidden="false" customHeight="false" outlineLevel="0" collapsed="false">
      <c r="B57" s="24" t="s">
        <v>86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</sheetData>
  <mergeCells count="12">
    <mergeCell ref="C1:AF1"/>
    <mergeCell ref="C2:I2"/>
    <mergeCell ref="J2:P2"/>
    <mergeCell ref="Q2:W2"/>
    <mergeCell ref="X2:AD2"/>
    <mergeCell ref="AE2:AF2"/>
    <mergeCell ref="AG3:AG5"/>
    <mergeCell ref="AI3:AI5"/>
    <mergeCell ref="AJ3:AJ5"/>
    <mergeCell ref="AK3:AK5"/>
    <mergeCell ref="B57:AF57"/>
    <mergeCell ref="B58:AF58"/>
  </mergeCells>
  <conditionalFormatting sqref="C6:AF55">
    <cfRule type="expression" priority="2" aboveAverage="0" equalAverage="0" bottom="0" percent="0" rank="0" text="" dxfId="50">
      <formula>NOT(ISERROR(SEARCH("H1", C6)))</formula>
    </cfRule>
    <cfRule type="expression" priority="3" aboveAverage="0" equalAverage="0" bottom="0" percent="0" rank="0" text="" dxfId="51">
      <formula>NOT(ISERROR(SEARCH("H2", C6)))</formula>
    </cfRule>
    <cfRule type="expression" priority="4" aboveAverage="0" equalAverage="0" bottom="0" percent="0" rank="0" text="" dxfId="52">
      <formula>NOT(ISERROR(SEARCH("H", C6)))</formula>
    </cfRule>
    <cfRule type="expression" priority="5" aboveAverage="0" equalAverage="0" bottom="0" percent="0" rank="0" text="" dxfId="53">
      <formula>NOT(ISERROR(SEARCH("Q", C6)))</formula>
    </cfRule>
    <cfRule type="expression" priority="6" aboveAverage="0" equalAverage="0" bottom="0" percent="0" rank="0" text="" dxfId="54">
      <formula>NOT(ISERROR(SEARCH("I", C6)))</formula>
    </cfRule>
    <cfRule type="expression" priority="7" aboveAverage="0" equalAverage="0" bottom="0" percent="0" rank="0" text="" dxfId="55">
      <formula>NOT(ISERROR(SEARCH("S", C6)))</formula>
    </cfRule>
    <cfRule type="expression" priority="8" aboveAverage="0" equalAverage="0" bottom="0" percent="0" rank="0" text="" dxfId="56">
      <formula>NOT(ISERROR(SEARCH("M", C6)))</formula>
    </cfRule>
    <cfRule type="expression" priority="9" aboveAverage="0" equalAverage="0" bottom="0" percent="0" rank="0" text="" dxfId="57">
      <formula>NOT(ISERROR(SEARCH("C", C6)))</formula>
    </cfRule>
    <cfRule type="expression" priority="10" aboveAverage="0" equalAverage="0" bottom="0" percent="0" rank="0" text="" dxfId="58">
      <formula>NOT(ISERROR(SEARCH("V", C6)))</formula>
    </cfRule>
    <cfRule type="expression" priority="11" aboveAverage="0" equalAverage="0" bottom="0" percent="0" rank="0" text="" dxfId="5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.75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84</v>
      </c>
      <c r="D2" s="1"/>
      <c r="E2" s="1"/>
      <c r="F2" s="1"/>
      <c r="G2" s="1"/>
      <c r="H2" s="1" t="s">
        <v>88</v>
      </c>
      <c r="I2" s="1"/>
      <c r="J2" s="1"/>
      <c r="K2" s="1"/>
      <c r="L2" s="1"/>
      <c r="M2" s="1"/>
      <c r="N2" s="1"/>
      <c r="O2" s="1" t="s">
        <v>89</v>
      </c>
      <c r="P2" s="1"/>
      <c r="Q2" s="1"/>
      <c r="R2" s="1"/>
      <c r="S2" s="1"/>
      <c r="T2" s="1"/>
      <c r="U2" s="1"/>
      <c r="V2" s="1" t="s">
        <v>90</v>
      </c>
      <c r="W2" s="1"/>
      <c r="X2" s="1"/>
      <c r="Y2" s="1"/>
      <c r="Z2" s="1"/>
      <c r="AA2" s="1"/>
      <c r="AB2" s="1"/>
      <c r="AC2" s="1" t="s">
        <v>91</v>
      </c>
      <c r="AD2" s="1"/>
      <c r="AE2" s="1"/>
      <c r="AF2" s="1"/>
      <c r="AG2" s="1"/>
    </row>
    <row r="3" customFormat="false" ht="12" hidden="false" customHeight="true" outlineLevel="0" collapsed="false">
      <c r="B3" s="2"/>
      <c r="C3" s="3" t="s">
        <v>92</v>
      </c>
      <c r="D3" s="3" t="s">
        <v>92</v>
      </c>
      <c r="E3" s="3" t="s">
        <v>92</v>
      </c>
      <c r="F3" s="3" t="s">
        <v>92</v>
      </c>
      <c r="G3" s="3" t="s">
        <v>92</v>
      </c>
      <c r="H3" s="3" t="s">
        <v>92</v>
      </c>
      <c r="I3" s="3" t="s">
        <v>92</v>
      </c>
      <c r="J3" s="3" t="s">
        <v>92</v>
      </c>
      <c r="K3" s="3" t="s">
        <v>92</v>
      </c>
      <c r="L3" s="3" t="s">
        <v>92</v>
      </c>
      <c r="M3" s="3" t="s">
        <v>92</v>
      </c>
      <c r="N3" s="3" t="s">
        <v>92</v>
      </c>
      <c r="O3" s="3" t="s">
        <v>92</v>
      </c>
      <c r="P3" s="3" t="s">
        <v>92</v>
      </c>
      <c r="Q3" s="3" t="s">
        <v>92</v>
      </c>
      <c r="R3" s="3" t="s">
        <v>92</v>
      </c>
      <c r="S3" s="3" t="s">
        <v>92</v>
      </c>
      <c r="T3" s="3" t="s">
        <v>92</v>
      </c>
      <c r="U3" s="3" t="s">
        <v>92</v>
      </c>
      <c r="V3" s="3" t="s">
        <v>92</v>
      </c>
      <c r="W3" s="3" t="s">
        <v>92</v>
      </c>
      <c r="X3" s="3" t="s">
        <v>92</v>
      </c>
      <c r="Y3" s="3" t="s">
        <v>92</v>
      </c>
      <c r="Z3" s="3" t="s">
        <v>92</v>
      </c>
      <c r="AA3" s="3" t="s">
        <v>92</v>
      </c>
      <c r="AB3" s="3" t="s">
        <v>92</v>
      </c>
      <c r="AC3" s="3" t="s">
        <v>92</v>
      </c>
      <c r="AD3" s="3" t="s">
        <v>92</v>
      </c>
      <c r="AE3" s="3" t="s">
        <v>92</v>
      </c>
      <c r="AF3" s="3" t="s">
        <v>92</v>
      </c>
      <c r="AG3" s="3" t="s">
        <v>92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17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  <c r="J5" s="6" t="s">
        <v>17</v>
      </c>
      <c r="K5" s="6" t="s">
        <v>11</v>
      </c>
      <c r="L5" s="6" t="s">
        <v>12</v>
      </c>
      <c r="M5" s="6" t="s">
        <v>13</v>
      </c>
      <c r="N5" s="6" t="s">
        <v>14</v>
      </c>
      <c r="O5" s="6" t="s">
        <v>15</v>
      </c>
      <c r="P5" s="6" t="s">
        <v>16</v>
      </c>
      <c r="Q5" s="6" t="s">
        <v>17</v>
      </c>
      <c r="R5" s="6" t="s">
        <v>11</v>
      </c>
      <c r="S5" s="6" t="s">
        <v>12</v>
      </c>
      <c r="T5" s="6" t="s">
        <v>13</v>
      </c>
      <c r="U5" s="6" t="s">
        <v>14</v>
      </c>
      <c r="V5" s="6" t="s">
        <v>15</v>
      </c>
      <c r="W5" s="6" t="s">
        <v>16</v>
      </c>
      <c r="X5" s="6" t="s">
        <v>17</v>
      </c>
      <c r="Y5" s="6" t="s">
        <v>11</v>
      </c>
      <c r="Z5" s="6" t="s">
        <v>12</v>
      </c>
      <c r="AA5" s="6" t="s">
        <v>13</v>
      </c>
      <c r="AB5" s="6" t="s">
        <v>14</v>
      </c>
      <c r="AC5" s="6" t="s">
        <v>15</v>
      </c>
      <c r="AD5" s="6" t="s">
        <v>16</v>
      </c>
      <c r="AE5" s="6" t="s">
        <v>17</v>
      </c>
      <c r="AF5" s="6" t="s">
        <v>11</v>
      </c>
      <c r="AG5" s="6" t="s">
        <v>12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/>
      <c r="E6" s="9" t="s">
        <v>20</v>
      </c>
      <c r="F6" s="10"/>
      <c r="G6" s="10"/>
      <c r="H6" s="9"/>
      <c r="I6" s="9"/>
      <c r="J6" s="9"/>
      <c r="K6" s="9"/>
      <c r="L6" s="9"/>
      <c r="M6" s="10"/>
      <c r="N6" s="10"/>
      <c r="O6" s="9"/>
      <c r="P6" s="9"/>
      <c r="Q6" s="9"/>
      <c r="R6" s="9"/>
      <c r="S6" s="9"/>
      <c r="T6" s="10"/>
      <c r="U6" s="10"/>
      <c r="V6" s="9"/>
      <c r="W6" s="9"/>
      <c r="X6" s="9"/>
      <c r="Y6" s="9"/>
      <c r="Z6" s="9"/>
      <c r="AA6" s="10"/>
      <c r="AB6" s="10"/>
      <c r="AC6" s="9"/>
      <c r="AD6" s="9"/>
      <c r="AE6" s="9"/>
      <c r="AF6" s="9"/>
      <c r="AG6" s="9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1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9" t="s">
        <v>20</v>
      </c>
      <c r="F7" s="10"/>
      <c r="G7" s="10"/>
      <c r="H7" s="9"/>
      <c r="I7" s="9"/>
      <c r="J7" s="9"/>
      <c r="K7" s="9"/>
      <c r="L7" s="9"/>
      <c r="M7" s="10"/>
      <c r="N7" s="10"/>
      <c r="O7" s="9"/>
      <c r="P7" s="9"/>
      <c r="Q7" s="9"/>
      <c r="R7" s="9"/>
      <c r="S7" s="9"/>
      <c r="T7" s="10"/>
      <c r="U7" s="10"/>
      <c r="V7" s="9"/>
      <c r="W7" s="9"/>
      <c r="X7" s="9"/>
      <c r="Y7" s="9"/>
      <c r="Z7" s="9"/>
      <c r="AA7" s="10"/>
      <c r="AB7" s="10"/>
      <c r="AC7" s="9"/>
      <c r="AD7" s="9"/>
      <c r="AE7" s="9"/>
      <c r="AF7" s="9"/>
      <c r="AG7" s="9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1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/>
      <c r="D8" s="9"/>
      <c r="E8" s="9" t="s">
        <v>20</v>
      </c>
      <c r="F8" s="10"/>
      <c r="G8" s="10"/>
      <c r="H8" s="9"/>
      <c r="I8" s="9"/>
      <c r="J8" s="9"/>
      <c r="K8" s="9"/>
      <c r="L8" s="9"/>
      <c r="M8" s="10"/>
      <c r="N8" s="10"/>
      <c r="O8" s="9"/>
      <c r="P8" s="9"/>
      <c r="Q8" s="9"/>
      <c r="R8" s="9"/>
      <c r="S8" s="9"/>
      <c r="T8" s="10"/>
      <c r="U8" s="10"/>
      <c r="V8" s="9"/>
      <c r="W8" s="9"/>
      <c r="X8" s="9"/>
      <c r="Y8" s="9"/>
      <c r="Z8" s="9"/>
      <c r="AA8" s="10"/>
      <c r="AB8" s="10"/>
      <c r="AC8" s="9"/>
      <c r="AD8" s="9"/>
      <c r="AE8" s="9"/>
      <c r="AF8" s="9"/>
      <c r="AG8" s="9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1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/>
      <c r="E9" s="9" t="s">
        <v>20</v>
      </c>
      <c r="F9" s="10"/>
      <c r="G9" s="10"/>
      <c r="H9" s="9"/>
      <c r="I9" s="9"/>
      <c r="J9" s="9"/>
      <c r="K9" s="9"/>
      <c r="L9" s="9"/>
      <c r="M9" s="10"/>
      <c r="N9" s="10"/>
      <c r="O9" s="9"/>
      <c r="P9" s="9"/>
      <c r="Q9" s="9"/>
      <c r="R9" s="9"/>
      <c r="S9" s="9"/>
      <c r="T9" s="10"/>
      <c r="U9" s="10"/>
      <c r="V9" s="9"/>
      <c r="W9" s="9"/>
      <c r="X9" s="9"/>
      <c r="Y9" s="9"/>
      <c r="Z9" s="9"/>
      <c r="AA9" s="10"/>
      <c r="AB9" s="10"/>
      <c r="AC9" s="9"/>
      <c r="AD9" s="9"/>
      <c r="AE9" s="9"/>
      <c r="AF9" s="9"/>
      <c r="AG9" s="9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1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9" t="s">
        <v>20</v>
      </c>
      <c r="F10" s="10"/>
      <c r="G10" s="10"/>
      <c r="H10" s="9"/>
      <c r="I10" s="9"/>
      <c r="J10" s="9"/>
      <c r="K10" s="9"/>
      <c r="L10" s="9"/>
      <c r="M10" s="10"/>
      <c r="N10" s="10"/>
      <c r="O10" s="9"/>
      <c r="P10" s="9"/>
      <c r="Q10" s="9"/>
      <c r="R10" s="9"/>
      <c r="S10" s="9"/>
      <c r="T10" s="10"/>
      <c r="U10" s="10"/>
      <c r="V10" s="9"/>
      <c r="W10" s="9"/>
      <c r="X10" s="9"/>
      <c r="Y10" s="9"/>
      <c r="Z10" s="9"/>
      <c r="AA10" s="10"/>
      <c r="AB10" s="10"/>
      <c r="AC10" s="9"/>
      <c r="AD10" s="9"/>
      <c r="AE10" s="9"/>
      <c r="AF10" s="9"/>
      <c r="AG10" s="9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1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/>
      <c r="D11" s="9"/>
      <c r="E11" s="9" t="s">
        <v>20</v>
      </c>
      <c r="F11" s="10"/>
      <c r="G11" s="10"/>
      <c r="H11" s="9"/>
      <c r="I11" s="9"/>
      <c r="J11" s="9"/>
      <c r="K11" s="9"/>
      <c r="L11" s="9"/>
      <c r="M11" s="10"/>
      <c r="N11" s="10"/>
      <c r="O11" s="9"/>
      <c r="P11" s="9"/>
      <c r="Q11" s="9"/>
      <c r="R11" s="9"/>
      <c r="S11" s="9"/>
      <c r="T11" s="10"/>
      <c r="U11" s="10"/>
      <c r="V11" s="9"/>
      <c r="W11" s="9"/>
      <c r="X11" s="9"/>
      <c r="Y11" s="9"/>
      <c r="Z11" s="9"/>
      <c r="AA11" s="10"/>
      <c r="AB11" s="10"/>
      <c r="AC11" s="9"/>
      <c r="AD11" s="9"/>
      <c r="AE11" s="9"/>
      <c r="AF11" s="9"/>
      <c r="AG11" s="9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1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9" t="s">
        <v>20</v>
      </c>
      <c r="F12" s="10"/>
      <c r="G12" s="10"/>
      <c r="H12" s="9"/>
      <c r="I12" s="9"/>
      <c r="J12" s="9"/>
      <c r="K12" s="9"/>
      <c r="L12" s="9"/>
      <c r="M12" s="10"/>
      <c r="N12" s="10"/>
      <c r="O12" s="9"/>
      <c r="P12" s="9"/>
      <c r="Q12" s="9"/>
      <c r="R12" s="9"/>
      <c r="S12" s="9"/>
      <c r="T12" s="10"/>
      <c r="U12" s="10"/>
      <c r="V12" s="9"/>
      <c r="W12" s="9"/>
      <c r="X12" s="9"/>
      <c r="Y12" s="9"/>
      <c r="Z12" s="9"/>
      <c r="AA12" s="10"/>
      <c r="AB12" s="10"/>
      <c r="AC12" s="9"/>
      <c r="AD12" s="9"/>
      <c r="AE12" s="9"/>
      <c r="AF12" s="9"/>
      <c r="AG12" s="9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1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9" t="s">
        <v>20</v>
      </c>
      <c r="F13" s="10"/>
      <c r="G13" s="10"/>
      <c r="H13" s="9"/>
      <c r="I13" s="9"/>
      <c r="J13" s="9"/>
      <c r="K13" s="9"/>
      <c r="L13" s="9"/>
      <c r="M13" s="10"/>
      <c r="N13" s="10"/>
      <c r="O13" s="9"/>
      <c r="P13" s="9"/>
      <c r="Q13" s="9"/>
      <c r="R13" s="9"/>
      <c r="S13" s="9"/>
      <c r="T13" s="10"/>
      <c r="U13" s="10"/>
      <c r="V13" s="9"/>
      <c r="W13" s="9"/>
      <c r="X13" s="9"/>
      <c r="Y13" s="9"/>
      <c r="Z13" s="9"/>
      <c r="AA13" s="10"/>
      <c r="AB13" s="10"/>
      <c r="AC13" s="9"/>
      <c r="AD13" s="9"/>
      <c r="AE13" s="9"/>
      <c r="AF13" s="9"/>
      <c r="AG13" s="9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1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/>
      <c r="D14" s="9"/>
      <c r="E14" s="9" t="s">
        <v>20</v>
      </c>
      <c r="F14" s="10"/>
      <c r="G14" s="10"/>
      <c r="H14" s="9"/>
      <c r="I14" s="9"/>
      <c r="J14" s="9"/>
      <c r="K14" s="9"/>
      <c r="L14" s="9"/>
      <c r="M14" s="10"/>
      <c r="N14" s="10"/>
      <c r="O14" s="9"/>
      <c r="P14" s="9"/>
      <c r="Q14" s="9"/>
      <c r="R14" s="9"/>
      <c r="S14" s="9"/>
      <c r="T14" s="10"/>
      <c r="U14" s="10"/>
      <c r="V14" s="9"/>
      <c r="W14" s="9"/>
      <c r="X14" s="9"/>
      <c r="Y14" s="9"/>
      <c r="Z14" s="9"/>
      <c r="AA14" s="10"/>
      <c r="AB14" s="10"/>
      <c r="AC14" s="9"/>
      <c r="AD14" s="9"/>
      <c r="AE14" s="9"/>
      <c r="AF14" s="9"/>
      <c r="AG14" s="9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1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/>
      <c r="E15" s="9" t="s">
        <v>20</v>
      </c>
      <c r="F15" s="10"/>
      <c r="G15" s="10"/>
      <c r="H15" s="9"/>
      <c r="I15" s="9"/>
      <c r="J15" s="9"/>
      <c r="K15" s="9"/>
      <c r="L15" s="9"/>
      <c r="M15" s="10"/>
      <c r="N15" s="10"/>
      <c r="O15" s="9"/>
      <c r="P15" s="9"/>
      <c r="Q15" s="9"/>
      <c r="R15" s="9"/>
      <c r="S15" s="9"/>
      <c r="T15" s="10"/>
      <c r="U15" s="10"/>
      <c r="V15" s="9"/>
      <c r="W15" s="9"/>
      <c r="X15" s="9"/>
      <c r="Y15" s="9"/>
      <c r="Z15" s="9"/>
      <c r="AA15" s="10"/>
      <c r="AB15" s="10"/>
      <c r="AC15" s="9"/>
      <c r="AD15" s="9"/>
      <c r="AE15" s="9"/>
      <c r="AF15" s="9"/>
      <c r="AG15" s="9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1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9" t="s">
        <v>20</v>
      </c>
      <c r="F16" s="10"/>
      <c r="G16" s="10"/>
      <c r="H16" s="9"/>
      <c r="I16" s="9"/>
      <c r="J16" s="9"/>
      <c r="K16" s="9"/>
      <c r="L16" s="9"/>
      <c r="M16" s="10"/>
      <c r="N16" s="10"/>
      <c r="O16" s="9"/>
      <c r="P16" s="9"/>
      <c r="Q16" s="9"/>
      <c r="R16" s="9"/>
      <c r="S16" s="9"/>
      <c r="T16" s="10"/>
      <c r="U16" s="10"/>
      <c r="V16" s="9"/>
      <c r="W16" s="9"/>
      <c r="X16" s="9"/>
      <c r="Y16" s="9"/>
      <c r="Z16" s="9"/>
      <c r="AA16" s="10"/>
      <c r="AB16" s="10"/>
      <c r="AC16" s="9"/>
      <c r="AD16" s="9"/>
      <c r="AE16" s="9"/>
      <c r="AF16" s="9"/>
      <c r="AG16" s="9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1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/>
      <c r="D17" s="9"/>
      <c r="E17" s="9" t="s">
        <v>20</v>
      </c>
      <c r="F17" s="10"/>
      <c r="G17" s="10"/>
      <c r="H17" s="9"/>
      <c r="I17" s="9"/>
      <c r="J17" s="9"/>
      <c r="K17" s="9"/>
      <c r="L17" s="9"/>
      <c r="M17" s="10"/>
      <c r="N17" s="10"/>
      <c r="O17" s="9"/>
      <c r="P17" s="9"/>
      <c r="Q17" s="9"/>
      <c r="R17" s="9"/>
      <c r="S17" s="9"/>
      <c r="T17" s="10"/>
      <c r="U17" s="10"/>
      <c r="V17" s="9"/>
      <c r="W17" s="9"/>
      <c r="X17" s="9"/>
      <c r="Y17" s="9"/>
      <c r="Z17" s="9"/>
      <c r="AA17" s="10"/>
      <c r="AB17" s="10"/>
      <c r="AC17" s="9"/>
      <c r="AD17" s="9"/>
      <c r="AE17" s="9"/>
      <c r="AF17" s="9"/>
      <c r="AG17" s="9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1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9" t="s">
        <v>20</v>
      </c>
      <c r="F18" s="10"/>
      <c r="G18" s="10"/>
      <c r="H18" s="9"/>
      <c r="I18" s="9"/>
      <c r="J18" s="9"/>
      <c r="K18" s="9"/>
      <c r="L18" s="9"/>
      <c r="M18" s="10"/>
      <c r="N18" s="10"/>
      <c r="O18" s="9"/>
      <c r="P18" s="9"/>
      <c r="Q18" s="9"/>
      <c r="R18" s="9"/>
      <c r="S18" s="9"/>
      <c r="T18" s="10"/>
      <c r="U18" s="10"/>
      <c r="V18" s="9"/>
      <c r="W18" s="9"/>
      <c r="X18" s="9"/>
      <c r="Y18" s="9"/>
      <c r="Z18" s="9"/>
      <c r="AA18" s="10"/>
      <c r="AB18" s="10"/>
      <c r="AC18" s="9"/>
      <c r="AD18" s="9"/>
      <c r="AE18" s="9"/>
      <c r="AF18" s="9"/>
      <c r="AG18" s="9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1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9" t="s">
        <v>20</v>
      </c>
      <c r="F19" s="10"/>
      <c r="G19" s="10"/>
      <c r="H19" s="9"/>
      <c r="I19" s="9"/>
      <c r="J19" s="9"/>
      <c r="K19" s="9"/>
      <c r="L19" s="9"/>
      <c r="M19" s="10"/>
      <c r="N19" s="10"/>
      <c r="O19" s="9"/>
      <c r="P19" s="9"/>
      <c r="Q19" s="9"/>
      <c r="R19" s="9"/>
      <c r="S19" s="9"/>
      <c r="T19" s="10"/>
      <c r="U19" s="10"/>
      <c r="V19" s="9"/>
      <c r="W19" s="9"/>
      <c r="X19" s="9"/>
      <c r="Y19" s="9"/>
      <c r="Z19" s="9"/>
      <c r="AA19" s="10"/>
      <c r="AB19" s="10"/>
      <c r="AC19" s="9"/>
      <c r="AD19" s="9"/>
      <c r="AE19" s="9"/>
      <c r="AF19" s="9"/>
      <c r="AG19" s="9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1</v>
      </c>
    </row>
    <row r="20" customFormat="false" ht="19.5" hidden="false" customHeight="true" outlineLevel="0" collapsed="false">
      <c r="B20" s="8" t="s">
        <v>79</v>
      </c>
      <c r="C20" s="9"/>
      <c r="D20" s="9"/>
      <c r="E20" s="9" t="s">
        <v>20</v>
      </c>
      <c r="F20" s="10"/>
      <c r="G20" s="10"/>
      <c r="H20" s="9"/>
      <c r="I20" s="9"/>
      <c r="J20" s="9"/>
      <c r="K20" s="9"/>
      <c r="L20" s="9"/>
      <c r="M20" s="10"/>
      <c r="N20" s="10"/>
      <c r="O20" s="9"/>
      <c r="P20" s="9"/>
      <c r="Q20" s="9"/>
      <c r="R20" s="9"/>
      <c r="S20" s="9"/>
      <c r="T20" s="10"/>
      <c r="U20" s="10"/>
      <c r="V20" s="9"/>
      <c r="W20" s="9"/>
      <c r="X20" s="9"/>
      <c r="Y20" s="9"/>
      <c r="Z20" s="9"/>
      <c r="AA20" s="10"/>
      <c r="AB20" s="10"/>
      <c r="AC20" s="9"/>
      <c r="AD20" s="9"/>
      <c r="AE20" s="9"/>
      <c r="AF20" s="9"/>
      <c r="AG20" s="9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1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9"/>
      <c r="F21" s="10"/>
      <c r="G21" s="10"/>
      <c r="H21" s="9"/>
      <c r="I21" s="9"/>
      <c r="J21" s="9"/>
      <c r="K21" s="9"/>
      <c r="L21" s="9"/>
      <c r="M21" s="10"/>
      <c r="N21" s="10"/>
      <c r="O21" s="9"/>
      <c r="P21" s="9"/>
      <c r="Q21" s="9"/>
      <c r="R21" s="9"/>
      <c r="S21" s="9"/>
      <c r="T21" s="10"/>
      <c r="U21" s="10"/>
      <c r="V21" s="9"/>
      <c r="W21" s="9"/>
      <c r="X21" s="9"/>
      <c r="Y21" s="9"/>
      <c r="Z21" s="9"/>
      <c r="AA21" s="10"/>
      <c r="AB21" s="10"/>
      <c r="AC21" s="9"/>
      <c r="AD21" s="9"/>
      <c r="AE21" s="9"/>
      <c r="AF21" s="9"/>
      <c r="AG21" s="9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9"/>
      <c r="F22" s="10"/>
      <c r="G22" s="10"/>
      <c r="H22" s="9"/>
      <c r="I22" s="9"/>
      <c r="J22" s="9"/>
      <c r="K22" s="9"/>
      <c r="L22" s="9"/>
      <c r="M22" s="10"/>
      <c r="N22" s="10"/>
      <c r="O22" s="9"/>
      <c r="P22" s="9"/>
      <c r="Q22" s="9"/>
      <c r="R22" s="9"/>
      <c r="S22" s="9"/>
      <c r="T22" s="10"/>
      <c r="U22" s="10"/>
      <c r="V22" s="9"/>
      <c r="W22" s="9"/>
      <c r="X22" s="9"/>
      <c r="Y22" s="9"/>
      <c r="Z22" s="9"/>
      <c r="AA22" s="10"/>
      <c r="AB22" s="10"/>
      <c r="AC22" s="9"/>
      <c r="AD22" s="9"/>
      <c r="AE22" s="9"/>
      <c r="AF22" s="9"/>
      <c r="AG22" s="9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9"/>
      <c r="F23" s="10"/>
      <c r="G23" s="10"/>
      <c r="H23" s="9"/>
      <c r="I23" s="9"/>
      <c r="J23" s="9"/>
      <c r="K23" s="9"/>
      <c r="L23" s="9"/>
      <c r="M23" s="10"/>
      <c r="N23" s="10"/>
      <c r="O23" s="9"/>
      <c r="P23" s="9"/>
      <c r="Q23" s="9"/>
      <c r="R23" s="9"/>
      <c r="S23" s="9"/>
      <c r="T23" s="10"/>
      <c r="U23" s="10"/>
      <c r="V23" s="9"/>
      <c r="W23" s="9"/>
      <c r="X23" s="9"/>
      <c r="Y23" s="9"/>
      <c r="Z23" s="9"/>
      <c r="AA23" s="10"/>
      <c r="AB23" s="10"/>
      <c r="AC23" s="9"/>
      <c r="AD23" s="9"/>
      <c r="AE23" s="9"/>
      <c r="AF23" s="9"/>
      <c r="AG23" s="9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9"/>
      <c r="F24" s="10"/>
      <c r="G24" s="10"/>
      <c r="H24" s="9"/>
      <c r="I24" s="9"/>
      <c r="J24" s="9"/>
      <c r="K24" s="9"/>
      <c r="L24" s="9"/>
      <c r="M24" s="10"/>
      <c r="N24" s="10"/>
      <c r="O24" s="9"/>
      <c r="P24" s="9"/>
      <c r="Q24" s="9"/>
      <c r="R24" s="9"/>
      <c r="S24" s="9"/>
      <c r="T24" s="10"/>
      <c r="U24" s="10"/>
      <c r="V24" s="9"/>
      <c r="W24" s="9"/>
      <c r="X24" s="9"/>
      <c r="Y24" s="9"/>
      <c r="Z24" s="9"/>
      <c r="AA24" s="10"/>
      <c r="AB24" s="10"/>
      <c r="AC24" s="9"/>
      <c r="AD24" s="9"/>
      <c r="AE24" s="9"/>
      <c r="AF24" s="9"/>
      <c r="AG24" s="9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9"/>
      <c r="F25" s="10"/>
      <c r="G25" s="10"/>
      <c r="H25" s="9"/>
      <c r="I25" s="9"/>
      <c r="J25" s="9"/>
      <c r="K25" s="9"/>
      <c r="L25" s="9"/>
      <c r="M25" s="10"/>
      <c r="N25" s="10"/>
      <c r="O25" s="9"/>
      <c r="P25" s="9"/>
      <c r="Q25" s="9"/>
      <c r="R25" s="9"/>
      <c r="S25" s="9"/>
      <c r="T25" s="10"/>
      <c r="U25" s="10"/>
      <c r="V25" s="9"/>
      <c r="W25" s="9"/>
      <c r="X25" s="9"/>
      <c r="Y25" s="9"/>
      <c r="Z25" s="9"/>
      <c r="AA25" s="10"/>
      <c r="AB25" s="10"/>
      <c r="AC25" s="9"/>
      <c r="AD25" s="9"/>
      <c r="AE25" s="9"/>
      <c r="AF25" s="9"/>
      <c r="AG25" s="9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9"/>
      <c r="F26" s="10"/>
      <c r="G26" s="10"/>
      <c r="H26" s="9"/>
      <c r="I26" s="9"/>
      <c r="J26" s="9"/>
      <c r="K26" s="9"/>
      <c r="L26" s="9"/>
      <c r="M26" s="10"/>
      <c r="N26" s="10"/>
      <c r="O26" s="9"/>
      <c r="P26" s="9"/>
      <c r="Q26" s="9"/>
      <c r="R26" s="9"/>
      <c r="S26" s="9"/>
      <c r="T26" s="10"/>
      <c r="U26" s="10"/>
      <c r="V26" s="9"/>
      <c r="W26" s="9"/>
      <c r="X26" s="9"/>
      <c r="Y26" s="9"/>
      <c r="Z26" s="9"/>
      <c r="AA26" s="10"/>
      <c r="AB26" s="10"/>
      <c r="AC26" s="9"/>
      <c r="AD26" s="9"/>
      <c r="AE26" s="9"/>
      <c r="AF26" s="9"/>
      <c r="AG26" s="9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9"/>
      <c r="F27" s="10"/>
      <c r="G27" s="10"/>
      <c r="H27" s="9"/>
      <c r="I27" s="9"/>
      <c r="J27" s="9"/>
      <c r="K27" s="9"/>
      <c r="L27" s="9"/>
      <c r="M27" s="10"/>
      <c r="N27" s="10"/>
      <c r="O27" s="9"/>
      <c r="P27" s="9"/>
      <c r="Q27" s="9"/>
      <c r="R27" s="9"/>
      <c r="S27" s="9"/>
      <c r="T27" s="10"/>
      <c r="U27" s="10"/>
      <c r="V27" s="9"/>
      <c r="W27" s="9"/>
      <c r="X27" s="9"/>
      <c r="Y27" s="9"/>
      <c r="Z27" s="9"/>
      <c r="AA27" s="10"/>
      <c r="AB27" s="10"/>
      <c r="AC27" s="9"/>
      <c r="AD27" s="9"/>
      <c r="AE27" s="9"/>
      <c r="AF27" s="9"/>
      <c r="AG27" s="9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9"/>
      <c r="F28" s="10"/>
      <c r="G28" s="10"/>
      <c r="H28" s="9"/>
      <c r="I28" s="9"/>
      <c r="J28" s="9"/>
      <c r="K28" s="9"/>
      <c r="L28" s="9"/>
      <c r="M28" s="10"/>
      <c r="N28" s="10"/>
      <c r="O28" s="9"/>
      <c r="P28" s="9"/>
      <c r="Q28" s="9"/>
      <c r="R28" s="9"/>
      <c r="S28" s="9"/>
      <c r="T28" s="10"/>
      <c r="U28" s="10"/>
      <c r="V28" s="9"/>
      <c r="W28" s="9"/>
      <c r="X28" s="9"/>
      <c r="Y28" s="9"/>
      <c r="Z28" s="9"/>
      <c r="AA28" s="10"/>
      <c r="AB28" s="10"/>
      <c r="AC28" s="9"/>
      <c r="AD28" s="9"/>
      <c r="AE28" s="9"/>
      <c r="AF28" s="9"/>
      <c r="AG28" s="9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9"/>
      <c r="F29" s="10"/>
      <c r="G29" s="10"/>
      <c r="H29" s="9"/>
      <c r="I29" s="9"/>
      <c r="J29" s="9"/>
      <c r="K29" s="9"/>
      <c r="L29" s="9"/>
      <c r="M29" s="10"/>
      <c r="N29" s="10"/>
      <c r="O29" s="9"/>
      <c r="P29" s="9"/>
      <c r="Q29" s="9"/>
      <c r="R29" s="9"/>
      <c r="S29" s="9"/>
      <c r="T29" s="10"/>
      <c r="U29" s="10"/>
      <c r="V29" s="9"/>
      <c r="W29" s="9"/>
      <c r="X29" s="9"/>
      <c r="Y29" s="9"/>
      <c r="Z29" s="9"/>
      <c r="AA29" s="10"/>
      <c r="AB29" s="10"/>
      <c r="AC29" s="9"/>
      <c r="AD29" s="9"/>
      <c r="AE29" s="9"/>
      <c r="AF29" s="9"/>
      <c r="AG29" s="9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9"/>
      <c r="F30" s="10"/>
      <c r="G30" s="10"/>
      <c r="H30" s="9"/>
      <c r="I30" s="9"/>
      <c r="J30" s="9"/>
      <c r="K30" s="9"/>
      <c r="L30" s="9"/>
      <c r="M30" s="10"/>
      <c r="N30" s="10"/>
      <c r="O30" s="9"/>
      <c r="P30" s="9"/>
      <c r="Q30" s="9"/>
      <c r="R30" s="9"/>
      <c r="S30" s="9"/>
      <c r="T30" s="10"/>
      <c r="U30" s="10"/>
      <c r="V30" s="9"/>
      <c r="W30" s="9"/>
      <c r="X30" s="9"/>
      <c r="Y30" s="9"/>
      <c r="Z30" s="9"/>
      <c r="AA30" s="10"/>
      <c r="AB30" s="10"/>
      <c r="AC30" s="9"/>
      <c r="AD30" s="9"/>
      <c r="AE30" s="9"/>
      <c r="AF30" s="9"/>
      <c r="AG30" s="9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9"/>
      <c r="F31" s="10"/>
      <c r="G31" s="10"/>
      <c r="H31" s="9"/>
      <c r="I31" s="9"/>
      <c r="J31" s="9"/>
      <c r="K31" s="9"/>
      <c r="L31" s="9"/>
      <c r="M31" s="10"/>
      <c r="N31" s="10"/>
      <c r="O31" s="9"/>
      <c r="P31" s="9"/>
      <c r="Q31" s="9"/>
      <c r="R31" s="9"/>
      <c r="S31" s="9"/>
      <c r="T31" s="10"/>
      <c r="U31" s="10"/>
      <c r="V31" s="9"/>
      <c r="W31" s="9"/>
      <c r="X31" s="9"/>
      <c r="Y31" s="9"/>
      <c r="Z31" s="9"/>
      <c r="AA31" s="10"/>
      <c r="AB31" s="10"/>
      <c r="AC31" s="9"/>
      <c r="AD31" s="9"/>
      <c r="AE31" s="9"/>
      <c r="AF31" s="9"/>
      <c r="AG31" s="9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9"/>
      <c r="F32" s="10"/>
      <c r="G32" s="10"/>
      <c r="H32" s="9"/>
      <c r="I32" s="9"/>
      <c r="J32" s="9"/>
      <c r="K32" s="9"/>
      <c r="L32" s="9"/>
      <c r="M32" s="10"/>
      <c r="N32" s="10"/>
      <c r="O32" s="9"/>
      <c r="P32" s="9"/>
      <c r="Q32" s="9"/>
      <c r="R32" s="9"/>
      <c r="S32" s="9"/>
      <c r="T32" s="10"/>
      <c r="U32" s="10"/>
      <c r="V32" s="9"/>
      <c r="W32" s="9"/>
      <c r="X32" s="9"/>
      <c r="Y32" s="9"/>
      <c r="Z32" s="9"/>
      <c r="AA32" s="10"/>
      <c r="AB32" s="10"/>
      <c r="AC32" s="9"/>
      <c r="AD32" s="9"/>
      <c r="AE32" s="9"/>
      <c r="AF32" s="9"/>
      <c r="AG32" s="9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9"/>
      <c r="F33" s="10"/>
      <c r="G33" s="10"/>
      <c r="H33" s="9"/>
      <c r="I33" s="9"/>
      <c r="J33" s="9"/>
      <c r="K33" s="9"/>
      <c r="L33" s="9"/>
      <c r="M33" s="10"/>
      <c r="N33" s="10"/>
      <c r="O33" s="9"/>
      <c r="P33" s="9"/>
      <c r="Q33" s="9"/>
      <c r="R33" s="9"/>
      <c r="S33" s="9"/>
      <c r="T33" s="10"/>
      <c r="U33" s="10"/>
      <c r="V33" s="9"/>
      <c r="W33" s="9"/>
      <c r="X33" s="9"/>
      <c r="Y33" s="9"/>
      <c r="Z33" s="9"/>
      <c r="AA33" s="10"/>
      <c r="AB33" s="10"/>
      <c r="AC33" s="9"/>
      <c r="AD33" s="9"/>
      <c r="AE33" s="9"/>
      <c r="AF33" s="9"/>
      <c r="AG33" s="9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9"/>
      <c r="F34" s="10"/>
      <c r="G34" s="10"/>
      <c r="H34" s="9"/>
      <c r="I34" s="9"/>
      <c r="J34" s="9"/>
      <c r="K34" s="9"/>
      <c r="L34" s="9"/>
      <c r="M34" s="10"/>
      <c r="N34" s="10"/>
      <c r="O34" s="9"/>
      <c r="P34" s="9"/>
      <c r="Q34" s="9"/>
      <c r="R34" s="9"/>
      <c r="S34" s="9"/>
      <c r="T34" s="10"/>
      <c r="U34" s="10"/>
      <c r="V34" s="9"/>
      <c r="W34" s="9"/>
      <c r="X34" s="9"/>
      <c r="Y34" s="9"/>
      <c r="Z34" s="9"/>
      <c r="AA34" s="10"/>
      <c r="AB34" s="10"/>
      <c r="AC34" s="9"/>
      <c r="AD34" s="9"/>
      <c r="AE34" s="9"/>
      <c r="AF34" s="9"/>
      <c r="AG34" s="9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9"/>
      <c r="F35" s="10"/>
      <c r="G35" s="10"/>
      <c r="H35" s="9"/>
      <c r="I35" s="9"/>
      <c r="J35" s="9"/>
      <c r="K35" s="9"/>
      <c r="L35" s="9"/>
      <c r="M35" s="10"/>
      <c r="N35" s="10"/>
      <c r="O35" s="9"/>
      <c r="P35" s="9"/>
      <c r="Q35" s="9"/>
      <c r="R35" s="9"/>
      <c r="S35" s="9"/>
      <c r="T35" s="10"/>
      <c r="U35" s="10"/>
      <c r="V35" s="9"/>
      <c r="W35" s="9"/>
      <c r="X35" s="9"/>
      <c r="Y35" s="9"/>
      <c r="Z35" s="9"/>
      <c r="AA35" s="10"/>
      <c r="AB35" s="10"/>
      <c r="AC35" s="9"/>
      <c r="AD35" s="9"/>
      <c r="AE35" s="9"/>
      <c r="AF35" s="9"/>
      <c r="AG35" s="9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9"/>
      <c r="F36" s="10"/>
      <c r="G36" s="10"/>
      <c r="H36" s="9"/>
      <c r="I36" s="9"/>
      <c r="J36" s="9"/>
      <c r="K36" s="9"/>
      <c r="L36" s="9"/>
      <c r="M36" s="10"/>
      <c r="N36" s="10"/>
      <c r="O36" s="9"/>
      <c r="P36" s="9"/>
      <c r="Q36" s="9"/>
      <c r="R36" s="9"/>
      <c r="S36" s="9"/>
      <c r="T36" s="10"/>
      <c r="U36" s="10"/>
      <c r="V36" s="9"/>
      <c r="W36" s="9"/>
      <c r="X36" s="9"/>
      <c r="Y36" s="9"/>
      <c r="Z36" s="9"/>
      <c r="AA36" s="10"/>
      <c r="AB36" s="10"/>
      <c r="AC36" s="9"/>
      <c r="AD36" s="9"/>
      <c r="AE36" s="9"/>
      <c r="AF36" s="9"/>
      <c r="AG36" s="9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9"/>
      <c r="F37" s="10"/>
      <c r="G37" s="10"/>
      <c r="H37" s="9"/>
      <c r="I37" s="9"/>
      <c r="J37" s="9"/>
      <c r="K37" s="9"/>
      <c r="L37" s="9"/>
      <c r="M37" s="10"/>
      <c r="N37" s="10"/>
      <c r="O37" s="9"/>
      <c r="P37" s="9"/>
      <c r="Q37" s="9"/>
      <c r="R37" s="9"/>
      <c r="S37" s="9"/>
      <c r="T37" s="10"/>
      <c r="U37" s="10"/>
      <c r="V37" s="9"/>
      <c r="W37" s="9"/>
      <c r="X37" s="9"/>
      <c r="Y37" s="9"/>
      <c r="Z37" s="9"/>
      <c r="AA37" s="10"/>
      <c r="AB37" s="10"/>
      <c r="AC37" s="9"/>
      <c r="AD37" s="9"/>
      <c r="AE37" s="9"/>
      <c r="AF37" s="9"/>
      <c r="AG37" s="9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9"/>
      <c r="F38" s="10"/>
      <c r="G38" s="10"/>
      <c r="H38" s="9"/>
      <c r="I38" s="9"/>
      <c r="J38" s="9"/>
      <c r="K38" s="9"/>
      <c r="L38" s="9"/>
      <c r="M38" s="10"/>
      <c r="N38" s="10"/>
      <c r="O38" s="9"/>
      <c r="P38" s="9"/>
      <c r="Q38" s="9"/>
      <c r="R38" s="9"/>
      <c r="S38" s="9"/>
      <c r="T38" s="10"/>
      <c r="U38" s="10"/>
      <c r="V38" s="9"/>
      <c r="W38" s="9"/>
      <c r="X38" s="9"/>
      <c r="Y38" s="9"/>
      <c r="Z38" s="9"/>
      <c r="AA38" s="10"/>
      <c r="AB38" s="10"/>
      <c r="AC38" s="9"/>
      <c r="AD38" s="9"/>
      <c r="AE38" s="9"/>
      <c r="AF38" s="9"/>
      <c r="AG38" s="9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9"/>
      <c r="F39" s="10"/>
      <c r="G39" s="10"/>
      <c r="H39" s="9"/>
      <c r="I39" s="9"/>
      <c r="J39" s="9"/>
      <c r="K39" s="9"/>
      <c r="L39" s="9"/>
      <c r="M39" s="10"/>
      <c r="N39" s="10"/>
      <c r="O39" s="9"/>
      <c r="P39" s="9"/>
      <c r="Q39" s="9"/>
      <c r="R39" s="9"/>
      <c r="S39" s="9"/>
      <c r="T39" s="10"/>
      <c r="U39" s="10"/>
      <c r="V39" s="9"/>
      <c r="W39" s="9"/>
      <c r="X39" s="9"/>
      <c r="Y39" s="9"/>
      <c r="Z39" s="9"/>
      <c r="AA39" s="10"/>
      <c r="AB39" s="10"/>
      <c r="AC39" s="9"/>
      <c r="AD39" s="9"/>
      <c r="AE39" s="9"/>
      <c r="AF39" s="9"/>
      <c r="AG39" s="9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9"/>
      <c r="F40" s="10"/>
      <c r="G40" s="10"/>
      <c r="H40" s="9"/>
      <c r="I40" s="9"/>
      <c r="J40" s="9"/>
      <c r="K40" s="9"/>
      <c r="L40" s="9"/>
      <c r="M40" s="10"/>
      <c r="N40" s="10"/>
      <c r="O40" s="9"/>
      <c r="P40" s="9"/>
      <c r="Q40" s="9"/>
      <c r="R40" s="9"/>
      <c r="S40" s="9"/>
      <c r="T40" s="10"/>
      <c r="U40" s="10"/>
      <c r="V40" s="9"/>
      <c r="W40" s="9"/>
      <c r="X40" s="9"/>
      <c r="Y40" s="9"/>
      <c r="Z40" s="9"/>
      <c r="AA40" s="10"/>
      <c r="AB40" s="10"/>
      <c r="AC40" s="9"/>
      <c r="AD40" s="9"/>
      <c r="AE40" s="9"/>
      <c r="AF40" s="9"/>
      <c r="AG40" s="9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9"/>
      <c r="F41" s="10"/>
      <c r="G41" s="10"/>
      <c r="H41" s="9"/>
      <c r="I41" s="9"/>
      <c r="J41" s="9"/>
      <c r="K41" s="9"/>
      <c r="L41" s="9"/>
      <c r="M41" s="10"/>
      <c r="N41" s="10"/>
      <c r="O41" s="9"/>
      <c r="P41" s="9"/>
      <c r="Q41" s="9"/>
      <c r="R41" s="9"/>
      <c r="S41" s="9"/>
      <c r="T41" s="10"/>
      <c r="U41" s="10"/>
      <c r="V41" s="9"/>
      <c r="W41" s="9"/>
      <c r="X41" s="9"/>
      <c r="Y41" s="9"/>
      <c r="Z41" s="9"/>
      <c r="AA41" s="10"/>
      <c r="AB41" s="10"/>
      <c r="AC41" s="9"/>
      <c r="AD41" s="9"/>
      <c r="AE41" s="9"/>
      <c r="AF41" s="9"/>
      <c r="AG41" s="9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9"/>
      <c r="F42" s="10"/>
      <c r="G42" s="10"/>
      <c r="H42" s="9"/>
      <c r="I42" s="9"/>
      <c r="J42" s="9"/>
      <c r="K42" s="9"/>
      <c r="L42" s="9"/>
      <c r="M42" s="10"/>
      <c r="N42" s="10"/>
      <c r="O42" s="9"/>
      <c r="P42" s="9"/>
      <c r="Q42" s="9"/>
      <c r="R42" s="9"/>
      <c r="S42" s="9"/>
      <c r="T42" s="10"/>
      <c r="U42" s="10"/>
      <c r="V42" s="9"/>
      <c r="W42" s="9"/>
      <c r="X42" s="9"/>
      <c r="Y42" s="9"/>
      <c r="Z42" s="9"/>
      <c r="AA42" s="10"/>
      <c r="AB42" s="10"/>
      <c r="AC42" s="9"/>
      <c r="AD42" s="9"/>
      <c r="AE42" s="9"/>
      <c r="AF42" s="9"/>
      <c r="AG42" s="9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9"/>
      <c r="F43" s="10"/>
      <c r="G43" s="10"/>
      <c r="H43" s="9"/>
      <c r="I43" s="9"/>
      <c r="J43" s="9"/>
      <c r="K43" s="9"/>
      <c r="L43" s="9"/>
      <c r="M43" s="10"/>
      <c r="N43" s="10"/>
      <c r="O43" s="9"/>
      <c r="P43" s="9"/>
      <c r="Q43" s="9"/>
      <c r="R43" s="9"/>
      <c r="S43" s="9"/>
      <c r="T43" s="10"/>
      <c r="U43" s="10"/>
      <c r="V43" s="9"/>
      <c r="W43" s="9"/>
      <c r="X43" s="9"/>
      <c r="Y43" s="9"/>
      <c r="Z43" s="9"/>
      <c r="AA43" s="10"/>
      <c r="AB43" s="10"/>
      <c r="AC43" s="9"/>
      <c r="AD43" s="9"/>
      <c r="AE43" s="9"/>
      <c r="AF43" s="9"/>
      <c r="AG43" s="9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9"/>
      <c r="F44" s="10"/>
      <c r="G44" s="10"/>
      <c r="H44" s="9"/>
      <c r="I44" s="9"/>
      <c r="J44" s="9"/>
      <c r="K44" s="9"/>
      <c r="L44" s="9"/>
      <c r="M44" s="10"/>
      <c r="N44" s="10"/>
      <c r="O44" s="9"/>
      <c r="P44" s="9"/>
      <c r="Q44" s="9"/>
      <c r="R44" s="9"/>
      <c r="S44" s="9"/>
      <c r="T44" s="10"/>
      <c r="U44" s="10"/>
      <c r="V44" s="9"/>
      <c r="W44" s="9"/>
      <c r="X44" s="9"/>
      <c r="Y44" s="9"/>
      <c r="Z44" s="9"/>
      <c r="AA44" s="10"/>
      <c r="AB44" s="10"/>
      <c r="AC44" s="9"/>
      <c r="AD44" s="9"/>
      <c r="AE44" s="9"/>
      <c r="AF44" s="9"/>
      <c r="AG44" s="9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9"/>
      <c r="F45" s="10"/>
      <c r="G45" s="10"/>
      <c r="H45" s="9"/>
      <c r="I45" s="9"/>
      <c r="J45" s="9"/>
      <c r="K45" s="9"/>
      <c r="L45" s="9"/>
      <c r="M45" s="10"/>
      <c r="N45" s="10"/>
      <c r="O45" s="9"/>
      <c r="P45" s="9"/>
      <c r="Q45" s="9"/>
      <c r="R45" s="9"/>
      <c r="S45" s="9"/>
      <c r="T45" s="10"/>
      <c r="U45" s="10"/>
      <c r="V45" s="9"/>
      <c r="W45" s="9"/>
      <c r="X45" s="9"/>
      <c r="Y45" s="9"/>
      <c r="Z45" s="9"/>
      <c r="AA45" s="10"/>
      <c r="AB45" s="10"/>
      <c r="AC45" s="9"/>
      <c r="AD45" s="9"/>
      <c r="AE45" s="9"/>
      <c r="AF45" s="9"/>
      <c r="AG45" s="9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9"/>
      <c r="F46" s="10"/>
      <c r="G46" s="10"/>
      <c r="H46" s="9"/>
      <c r="I46" s="9"/>
      <c r="J46" s="9"/>
      <c r="K46" s="9"/>
      <c r="L46" s="9"/>
      <c r="M46" s="10"/>
      <c r="N46" s="10"/>
      <c r="O46" s="9"/>
      <c r="P46" s="9"/>
      <c r="Q46" s="9"/>
      <c r="R46" s="9"/>
      <c r="S46" s="9"/>
      <c r="T46" s="10"/>
      <c r="U46" s="10"/>
      <c r="V46" s="9"/>
      <c r="W46" s="9"/>
      <c r="X46" s="9"/>
      <c r="Y46" s="9"/>
      <c r="Z46" s="9"/>
      <c r="AA46" s="10"/>
      <c r="AB46" s="10"/>
      <c r="AC46" s="9"/>
      <c r="AD46" s="9"/>
      <c r="AE46" s="9"/>
      <c r="AF46" s="9"/>
      <c r="AG46" s="9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9"/>
      <c r="F47" s="10"/>
      <c r="G47" s="10"/>
      <c r="H47" s="9"/>
      <c r="I47" s="9"/>
      <c r="J47" s="9"/>
      <c r="K47" s="9"/>
      <c r="L47" s="9"/>
      <c r="M47" s="10"/>
      <c r="N47" s="10"/>
      <c r="O47" s="9"/>
      <c r="P47" s="9"/>
      <c r="Q47" s="9"/>
      <c r="R47" s="9"/>
      <c r="S47" s="9"/>
      <c r="T47" s="10"/>
      <c r="U47" s="10"/>
      <c r="V47" s="9"/>
      <c r="W47" s="9"/>
      <c r="X47" s="9"/>
      <c r="Y47" s="9"/>
      <c r="Z47" s="9"/>
      <c r="AA47" s="10"/>
      <c r="AB47" s="10"/>
      <c r="AC47" s="9"/>
      <c r="AD47" s="9"/>
      <c r="AE47" s="9"/>
      <c r="AF47" s="9"/>
      <c r="AG47" s="9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9"/>
      <c r="F48" s="10"/>
      <c r="G48" s="10"/>
      <c r="H48" s="9"/>
      <c r="I48" s="9"/>
      <c r="J48" s="9"/>
      <c r="K48" s="9"/>
      <c r="L48" s="9"/>
      <c r="M48" s="10"/>
      <c r="N48" s="10"/>
      <c r="O48" s="9"/>
      <c r="P48" s="9"/>
      <c r="Q48" s="9"/>
      <c r="R48" s="9"/>
      <c r="S48" s="9"/>
      <c r="T48" s="10"/>
      <c r="U48" s="10"/>
      <c r="V48" s="9"/>
      <c r="W48" s="9"/>
      <c r="X48" s="9"/>
      <c r="Y48" s="9"/>
      <c r="Z48" s="9"/>
      <c r="AA48" s="10"/>
      <c r="AB48" s="10"/>
      <c r="AC48" s="9"/>
      <c r="AD48" s="9"/>
      <c r="AE48" s="9"/>
      <c r="AF48" s="9"/>
      <c r="AG48" s="9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9"/>
      <c r="F49" s="10"/>
      <c r="G49" s="10"/>
      <c r="H49" s="9"/>
      <c r="I49" s="9"/>
      <c r="J49" s="9"/>
      <c r="K49" s="9"/>
      <c r="L49" s="9"/>
      <c r="M49" s="10"/>
      <c r="N49" s="10"/>
      <c r="O49" s="9"/>
      <c r="P49" s="9"/>
      <c r="Q49" s="9"/>
      <c r="R49" s="9"/>
      <c r="S49" s="9"/>
      <c r="T49" s="10"/>
      <c r="U49" s="10"/>
      <c r="V49" s="9"/>
      <c r="W49" s="9"/>
      <c r="X49" s="9"/>
      <c r="Y49" s="9"/>
      <c r="Z49" s="9"/>
      <c r="AA49" s="10"/>
      <c r="AB49" s="10"/>
      <c r="AC49" s="9"/>
      <c r="AD49" s="9"/>
      <c r="AE49" s="9"/>
      <c r="AF49" s="9"/>
      <c r="AG49" s="9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9"/>
      <c r="F50" s="10"/>
      <c r="G50" s="10"/>
      <c r="H50" s="9"/>
      <c r="I50" s="9"/>
      <c r="J50" s="9"/>
      <c r="K50" s="9"/>
      <c r="L50" s="9"/>
      <c r="M50" s="10"/>
      <c r="N50" s="10"/>
      <c r="O50" s="9"/>
      <c r="P50" s="9"/>
      <c r="Q50" s="9"/>
      <c r="R50" s="9"/>
      <c r="S50" s="9"/>
      <c r="T50" s="10"/>
      <c r="U50" s="10"/>
      <c r="V50" s="9"/>
      <c r="W50" s="9"/>
      <c r="X50" s="9"/>
      <c r="Y50" s="9"/>
      <c r="Z50" s="9"/>
      <c r="AA50" s="10"/>
      <c r="AB50" s="10"/>
      <c r="AC50" s="9"/>
      <c r="AD50" s="9"/>
      <c r="AE50" s="9"/>
      <c r="AF50" s="9"/>
      <c r="AG50" s="9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9"/>
      <c r="F51" s="10"/>
      <c r="G51" s="10"/>
      <c r="H51" s="9"/>
      <c r="I51" s="9"/>
      <c r="J51" s="9"/>
      <c r="K51" s="9"/>
      <c r="L51" s="9"/>
      <c r="M51" s="10"/>
      <c r="N51" s="10"/>
      <c r="O51" s="9"/>
      <c r="P51" s="9"/>
      <c r="Q51" s="9"/>
      <c r="R51" s="9"/>
      <c r="S51" s="9"/>
      <c r="T51" s="10"/>
      <c r="U51" s="10"/>
      <c r="V51" s="9"/>
      <c r="W51" s="9"/>
      <c r="X51" s="9"/>
      <c r="Y51" s="9"/>
      <c r="Z51" s="9"/>
      <c r="AA51" s="10"/>
      <c r="AB51" s="10"/>
      <c r="AC51" s="9"/>
      <c r="AD51" s="9"/>
      <c r="AE51" s="9"/>
      <c r="AF51" s="9"/>
      <c r="AG51" s="9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9"/>
      <c r="F52" s="10"/>
      <c r="G52" s="10"/>
      <c r="H52" s="9"/>
      <c r="I52" s="9"/>
      <c r="J52" s="9"/>
      <c r="K52" s="9"/>
      <c r="L52" s="9"/>
      <c r="M52" s="10"/>
      <c r="N52" s="10"/>
      <c r="O52" s="9"/>
      <c r="P52" s="9"/>
      <c r="Q52" s="9"/>
      <c r="R52" s="9"/>
      <c r="S52" s="9"/>
      <c r="T52" s="10"/>
      <c r="U52" s="10"/>
      <c r="V52" s="9"/>
      <c r="W52" s="9"/>
      <c r="X52" s="9"/>
      <c r="Y52" s="9"/>
      <c r="Z52" s="9"/>
      <c r="AA52" s="10"/>
      <c r="AB52" s="10"/>
      <c r="AC52" s="9"/>
      <c r="AD52" s="9"/>
      <c r="AE52" s="9"/>
      <c r="AF52" s="9"/>
      <c r="AG52" s="9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9"/>
      <c r="F53" s="10"/>
      <c r="G53" s="10"/>
      <c r="H53" s="9"/>
      <c r="I53" s="9"/>
      <c r="J53" s="9"/>
      <c r="K53" s="9"/>
      <c r="L53" s="9"/>
      <c r="M53" s="10"/>
      <c r="N53" s="10"/>
      <c r="O53" s="9"/>
      <c r="P53" s="9"/>
      <c r="Q53" s="9"/>
      <c r="R53" s="9"/>
      <c r="S53" s="9"/>
      <c r="T53" s="10"/>
      <c r="U53" s="10"/>
      <c r="V53" s="9"/>
      <c r="W53" s="9"/>
      <c r="X53" s="9"/>
      <c r="Y53" s="9"/>
      <c r="Z53" s="9"/>
      <c r="AA53" s="10"/>
      <c r="AB53" s="10"/>
      <c r="AC53" s="9"/>
      <c r="AD53" s="9"/>
      <c r="AE53" s="9"/>
      <c r="AF53" s="9"/>
      <c r="AG53" s="9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9"/>
      <c r="F54" s="10"/>
      <c r="G54" s="10"/>
      <c r="H54" s="9"/>
      <c r="I54" s="9"/>
      <c r="J54" s="9"/>
      <c r="K54" s="9"/>
      <c r="L54" s="9"/>
      <c r="M54" s="10"/>
      <c r="N54" s="10"/>
      <c r="O54" s="9"/>
      <c r="P54" s="9"/>
      <c r="Q54" s="9"/>
      <c r="R54" s="9"/>
      <c r="S54" s="9"/>
      <c r="T54" s="10"/>
      <c r="U54" s="10"/>
      <c r="V54" s="9"/>
      <c r="W54" s="9"/>
      <c r="X54" s="9"/>
      <c r="Y54" s="9"/>
      <c r="Z54" s="9"/>
      <c r="AA54" s="10"/>
      <c r="AB54" s="10"/>
      <c r="AC54" s="9"/>
      <c r="AD54" s="9"/>
      <c r="AE54" s="9"/>
      <c r="AF54" s="9"/>
      <c r="AG54" s="9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9"/>
      <c r="F55" s="10"/>
      <c r="G55" s="10"/>
      <c r="H55" s="9"/>
      <c r="I55" s="9"/>
      <c r="J55" s="9"/>
      <c r="K55" s="9"/>
      <c r="L55" s="9"/>
      <c r="M55" s="10"/>
      <c r="N55" s="10"/>
      <c r="O55" s="9"/>
      <c r="P55" s="9"/>
      <c r="Q55" s="9"/>
      <c r="R55" s="9"/>
      <c r="S55" s="9"/>
      <c r="T55" s="10"/>
      <c r="U55" s="10"/>
      <c r="V55" s="9"/>
      <c r="W55" s="9"/>
      <c r="X55" s="9"/>
      <c r="Y55" s="9"/>
      <c r="Z55" s="9"/>
      <c r="AA55" s="10"/>
      <c r="AB55" s="10"/>
      <c r="AC55" s="9"/>
      <c r="AD55" s="9"/>
      <c r="AE55" s="9"/>
      <c r="AF55" s="9"/>
      <c r="AG55" s="9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 t="s">
        <v>93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</sheetData>
  <mergeCells count="12">
    <mergeCell ref="C1:AG1"/>
    <mergeCell ref="C2:G2"/>
    <mergeCell ref="H2:N2"/>
    <mergeCell ref="O2:U2"/>
    <mergeCell ref="V2:AB2"/>
    <mergeCell ref="AC2:AG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60">
      <formula>NOT(ISERROR(SEARCH("H1", C6)))</formula>
    </cfRule>
    <cfRule type="expression" priority="3" aboveAverage="0" equalAverage="0" bottom="0" percent="0" rank="0" text="" dxfId="61">
      <formula>NOT(ISERROR(SEARCH("H2", C6)))</formula>
    </cfRule>
    <cfRule type="expression" priority="4" aboveAverage="0" equalAverage="0" bottom="0" percent="0" rank="0" text="" dxfId="62">
      <formula>NOT(ISERROR(SEARCH("H", C6)))</formula>
    </cfRule>
    <cfRule type="expression" priority="5" aboveAverage="0" equalAverage="0" bottom="0" percent="0" rank="0" text="" dxfId="63">
      <formula>NOT(ISERROR(SEARCH("Q", C6)))</formula>
    </cfRule>
    <cfRule type="expression" priority="6" aboveAverage="0" equalAverage="0" bottom="0" percent="0" rank="0" text="" dxfId="64">
      <formula>NOT(ISERROR(SEARCH("I", C6)))</formula>
    </cfRule>
    <cfRule type="expression" priority="7" aboveAverage="0" equalAverage="0" bottom="0" percent="0" rank="0" text="" dxfId="65">
      <formula>NOT(ISERROR(SEARCH("S", C6)))</formula>
    </cfRule>
    <cfRule type="expression" priority="8" aboveAverage="0" equalAverage="0" bottom="0" percent="0" rank="0" text="" dxfId="66">
      <formula>NOT(ISERROR(SEARCH("M", C6)))</formula>
    </cfRule>
    <cfRule type="expression" priority="9" aboveAverage="0" equalAverage="0" bottom="0" percent="0" rank="0" text="" dxfId="67">
      <formula>NOT(ISERROR(SEARCH("C", C6)))</formula>
    </cfRule>
    <cfRule type="expression" priority="10" aboveAverage="0" equalAverage="0" bottom="0" percent="0" rank="0" text="" dxfId="68">
      <formula>NOT(ISERROR(SEARCH("V", C6)))</formula>
    </cfRule>
    <cfRule type="expression" priority="11" aboveAverage="0" equalAverage="0" bottom="0" percent="0" rank="0" text="" dxfId="6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.37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91</v>
      </c>
      <c r="D2" s="1"/>
      <c r="E2" s="1" t="s">
        <v>94</v>
      </c>
      <c r="F2" s="1"/>
      <c r="G2" s="1"/>
      <c r="H2" s="1"/>
      <c r="I2" s="1"/>
      <c r="J2" s="1"/>
      <c r="K2" s="1"/>
      <c r="L2" s="1" t="s">
        <v>95</v>
      </c>
      <c r="M2" s="1"/>
      <c r="N2" s="1"/>
      <c r="O2" s="1"/>
      <c r="P2" s="1"/>
      <c r="Q2" s="1"/>
      <c r="R2" s="1"/>
      <c r="S2" s="1" t="s">
        <v>96</v>
      </c>
      <c r="T2" s="1"/>
      <c r="U2" s="1"/>
      <c r="V2" s="1"/>
      <c r="W2" s="1"/>
      <c r="X2" s="1"/>
      <c r="Y2" s="1"/>
      <c r="Z2" s="1" t="s">
        <v>97</v>
      </c>
      <c r="AA2" s="1"/>
      <c r="AB2" s="1"/>
      <c r="AC2" s="1"/>
      <c r="AD2" s="1"/>
      <c r="AE2" s="1"/>
      <c r="AF2" s="1"/>
      <c r="AG2" s="23" t="s">
        <v>98</v>
      </c>
    </row>
    <row r="3" customFormat="false" ht="12" hidden="false" customHeight="true" outlineLevel="0" collapsed="false">
      <c r="B3" s="2"/>
      <c r="C3" s="3" t="s">
        <v>99</v>
      </c>
      <c r="D3" s="3" t="s">
        <v>99</v>
      </c>
      <c r="E3" s="3" t="s">
        <v>99</v>
      </c>
      <c r="F3" s="3" t="s">
        <v>99</v>
      </c>
      <c r="G3" s="3" t="s">
        <v>99</v>
      </c>
      <c r="H3" s="3" t="s">
        <v>99</v>
      </c>
      <c r="I3" s="3" t="s">
        <v>99</v>
      </c>
      <c r="J3" s="3" t="s">
        <v>99</v>
      </c>
      <c r="K3" s="3" t="s">
        <v>99</v>
      </c>
      <c r="L3" s="3" t="s">
        <v>99</v>
      </c>
      <c r="M3" s="3" t="s">
        <v>99</v>
      </c>
      <c r="N3" s="3" t="s">
        <v>99</v>
      </c>
      <c r="O3" s="3" t="s">
        <v>99</v>
      </c>
      <c r="P3" s="3" t="s">
        <v>99</v>
      </c>
      <c r="Q3" s="3" t="s">
        <v>99</v>
      </c>
      <c r="R3" s="3" t="s">
        <v>99</v>
      </c>
      <c r="S3" s="3" t="s">
        <v>99</v>
      </c>
      <c r="T3" s="3" t="s">
        <v>99</v>
      </c>
      <c r="U3" s="3" t="s">
        <v>99</v>
      </c>
      <c r="V3" s="3" t="s">
        <v>99</v>
      </c>
      <c r="W3" s="3" t="s">
        <v>99</v>
      </c>
      <c r="X3" s="3" t="s">
        <v>99</v>
      </c>
      <c r="Y3" s="3" t="s">
        <v>99</v>
      </c>
      <c r="Z3" s="3" t="s">
        <v>99</v>
      </c>
      <c r="AA3" s="3" t="s">
        <v>99</v>
      </c>
      <c r="AB3" s="3" t="s">
        <v>99</v>
      </c>
      <c r="AC3" s="3" t="s">
        <v>99</v>
      </c>
      <c r="AD3" s="3" t="s">
        <v>99</v>
      </c>
      <c r="AE3" s="3" t="s">
        <v>99</v>
      </c>
      <c r="AF3" s="3" t="s">
        <v>99</v>
      </c>
      <c r="AG3" s="3" t="s">
        <v>99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6" t="s">
        <v>11</v>
      </c>
      <c r="P5" s="6" t="s">
        <v>12</v>
      </c>
      <c r="Q5" s="6" t="s">
        <v>13</v>
      </c>
      <c r="R5" s="6" t="s">
        <v>14</v>
      </c>
      <c r="S5" s="6" t="s">
        <v>15</v>
      </c>
      <c r="T5" s="6" t="s">
        <v>16</v>
      </c>
      <c r="U5" s="6" t="s">
        <v>17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16</v>
      </c>
      <c r="AB5" s="6" t="s">
        <v>17</v>
      </c>
      <c r="AC5" s="6" t="s">
        <v>11</v>
      </c>
      <c r="AD5" s="6" t="s">
        <v>12</v>
      </c>
      <c r="AE5" s="6" t="s">
        <v>13</v>
      </c>
      <c r="AF5" s="6" t="s">
        <v>14</v>
      </c>
      <c r="AG5" s="6" t="s">
        <v>15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10"/>
      <c r="D6" s="10"/>
      <c r="E6" s="9"/>
      <c r="F6" s="9"/>
      <c r="G6" s="9"/>
      <c r="H6" s="9"/>
      <c r="I6" s="9"/>
      <c r="J6" s="10"/>
      <c r="K6" s="10"/>
      <c r="L6" s="9"/>
      <c r="M6" s="9"/>
      <c r="N6" s="9"/>
      <c r="O6" s="9"/>
      <c r="P6" s="9"/>
      <c r="Q6" s="10"/>
      <c r="R6" s="10"/>
      <c r="S6" s="9"/>
      <c r="T6" s="9"/>
      <c r="U6" s="9"/>
      <c r="V6" s="9"/>
      <c r="W6" s="9"/>
      <c r="X6" s="10"/>
      <c r="Y6" s="10"/>
      <c r="Z6" s="9"/>
      <c r="AA6" s="9"/>
      <c r="AB6" s="9"/>
      <c r="AC6" s="9"/>
      <c r="AD6" s="9"/>
      <c r="AE6" s="10"/>
      <c r="AF6" s="10"/>
      <c r="AG6" s="9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0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10"/>
      <c r="D7" s="10"/>
      <c r="E7" s="9"/>
      <c r="F7" s="9"/>
      <c r="G7" s="9"/>
      <c r="H7" s="9"/>
      <c r="I7" s="9"/>
      <c r="J7" s="10"/>
      <c r="K7" s="10"/>
      <c r="L7" s="9"/>
      <c r="M7" s="9"/>
      <c r="N7" s="9"/>
      <c r="O7" s="9"/>
      <c r="P7" s="9"/>
      <c r="Q7" s="10"/>
      <c r="R7" s="10"/>
      <c r="S7" s="9"/>
      <c r="T7" s="9"/>
      <c r="U7" s="9"/>
      <c r="V7" s="9"/>
      <c r="W7" s="9"/>
      <c r="X7" s="10"/>
      <c r="Y7" s="10"/>
      <c r="Z7" s="9"/>
      <c r="AA7" s="9"/>
      <c r="AB7" s="9"/>
      <c r="AC7" s="9"/>
      <c r="AD7" s="9"/>
      <c r="AE7" s="10"/>
      <c r="AF7" s="10"/>
      <c r="AG7" s="9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0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10"/>
      <c r="D8" s="10"/>
      <c r="E8" s="9"/>
      <c r="F8" s="9"/>
      <c r="G8" s="9"/>
      <c r="H8" s="9"/>
      <c r="I8" s="9"/>
      <c r="J8" s="10"/>
      <c r="K8" s="10"/>
      <c r="L8" s="9"/>
      <c r="M8" s="9"/>
      <c r="N8" s="9"/>
      <c r="O8" s="9"/>
      <c r="P8" s="9"/>
      <c r="Q8" s="10"/>
      <c r="R8" s="10"/>
      <c r="S8" s="9"/>
      <c r="T8" s="9"/>
      <c r="U8" s="9"/>
      <c r="V8" s="9"/>
      <c r="W8" s="9"/>
      <c r="X8" s="10"/>
      <c r="Y8" s="10"/>
      <c r="Z8" s="9"/>
      <c r="AA8" s="9"/>
      <c r="AB8" s="9"/>
      <c r="AC8" s="9"/>
      <c r="AD8" s="9"/>
      <c r="AE8" s="10"/>
      <c r="AF8" s="10"/>
      <c r="AG8" s="9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0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10"/>
      <c r="D9" s="10"/>
      <c r="E9" s="9"/>
      <c r="F9" s="9"/>
      <c r="G9" s="9"/>
      <c r="H9" s="9"/>
      <c r="I9" s="9"/>
      <c r="J9" s="10"/>
      <c r="K9" s="10"/>
      <c r="L9" s="9"/>
      <c r="M9" s="9"/>
      <c r="N9" s="9"/>
      <c r="O9" s="9"/>
      <c r="P9" s="9"/>
      <c r="Q9" s="10"/>
      <c r="R9" s="10"/>
      <c r="S9" s="9"/>
      <c r="T9" s="9"/>
      <c r="U9" s="9"/>
      <c r="V9" s="9"/>
      <c r="W9" s="9"/>
      <c r="X9" s="10"/>
      <c r="Y9" s="10"/>
      <c r="Z9" s="9"/>
      <c r="AA9" s="9"/>
      <c r="AB9" s="9"/>
      <c r="AC9" s="9"/>
      <c r="AD9" s="9"/>
      <c r="AE9" s="10"/>
      <c r="AF9" s="10"/>
      <c r="AG9" s="9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0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10"/>
      <c r="D10" s="10"/>
      <c r="E10" s="9"/>
      <c r="F10" s="9"/>
      <c r="G10" s="9"/>
      <c r="H10" s="9"/>
      <c r="I10" s="9"/>
      <c r="J10" s="10"/>
      <c r="K10" s="10"/>
      <c r="L10" s="9"/>
      <c r="M10" s="9"/>
      <c r="N10" s="9"/>
      <c r="O10" s="9"/>
      <c r="P10" s="9"/>
      <c r="Q10" s="10"/>
      <c r="R10" s="10"/>
      <c r="S10" s="9"/>
      <c r="T10" s="9"/>
      <c r="U10" s="9"/>
      <c r="V10" s="9"/>
      <c r="W10" s="9"/>
      <c r="X10" s="10"/>
      <c r="Y10" s="10"/>
      <c r="Z10" s="9"/>
      <c r="AA10" s="9"/>
      <c r="AB10" s="9"/>
      <c r="AC10" s="9"/>
      <c r="AD10" s="9"/>
      <c r="AE10" s="10"/>
      <c r="AF10" s="10"/>
      <c r="AG10" s="9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0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10"/>
      <c r="D11" s="10"/>
      <c r="E11" s="9"/>
      <c r="F11" s="9"/>
      <c r="G11" s="9"/>
      <c r="H11" s="9"/>
      <c r="I11" s="9"/>
      <c r="J11" s="10"/>
      <c r="K11" s="10"/>
      <c r="L11" s="9"/>
      <c r="M11" s="9"/>
      <c r="N11" s="9"/>
      <c r="O11" s="9"/>
      <c r="P11" s="9"/>
      <c r="Q11" s="10"/>
      <c r="R11" s="10"/>
      <c r="S11" s="9"/>
      <c r="T11" s="9"/>
      <c r="U11" s="9"/>
      <c r="V11" s="9"/>
      <c r="W11" s="9"/>
      <c r="X11" s="10"/>
      <c r="Y11" s="10"/>
      <c r="Z11" s="9"/>
      <c r="AA11" s="9"/>
      <c r="AB11" s="9"/>
      <c r="AC11" s="9"/>
      <c r="AD11" s="9"/>
      <c r="AE11" s="10"/>
      <c r="AF11" s="10"/>
      <c r="AG11" s="9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0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10"/>
      <c r="D12" s="10"/>
      <c r="E12" s="9"/>
      <c r="F12" s="9"/>
      <c r="G12" s="9"/>
      <c r="H12" s="9"/>
      <c r="I12" s="9"/>
      <c r="J12" s="10"/>
      <c r="K12" s="10"/>
      <c r="L12" s="9"/>
      <c r="M12" s="9"/>
      <c r="N12" s="9"/>
      <c r="O12" s="9"/>
      <c r="P12" s="9"/>
      <c r="Q12" s="10"/>
      <c r="R12" s="10"/>
      <c r="S12" s="9"/>
      <c r="T12" s="9"/>
      <c r="U12" s="9"/>
      <c r="V12" s="9"/>
      <c r="W12" s="9"/>
      <c r="X12" s="10"/>
      <c r="Y12" s="10"/>
      <c r="Z12" s="9"/>
      <c r="AA12" s="9"/>
      <c r="AB12" s="9"/>
      <c r="AC12" s="9"/>
      <c r="AD12" s="9"/>
      <c r="AE12" s="10"/>
      <c r="AF12" s="10"/>
      <c r="AG12" s="9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0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10"/>
      <c r="D13" s="10"/>
      <c r="E13" s="9"/>
      <c r="F13" s="9"/>
      <c r="G13" s="9"/>
      <c r="H13" s="9"/>
      <c r="I13" s="9"/>
      <c r="J13" s="10"/>
      <c r="K13" s="10"/>
      <c r="L13" s="9"/>
      <c r="M13" s="9"/>
      <c r="N13" s="9"/>
      <c r="O13" s="9"/>
      <c r="P13" s="9"/>
      <c r="Q13" s="10"/>
      <c r="R13" s="10"/>
      <c r="S13" s="9"/>
      <c r="T13" s="9"/>
      <c r="U13" s="9"/>
      <c r="V13" s="9"/>
      <c r="W13" s="9"/>
      <c r="X13" s="10"/>
      <c r="Y13" s="10"/>
      <c r="Z13" s="9"/>
      <c r="AA13" s="9"/>
      <c r="AB13" s="9"/>
      <c r="AC13" s="9"/>
      <c r="AD13" s="9"/>
      <c r="AE13" s="10"/>
      <c r="AF13" s="10"/>
      <c r="AG13" s="9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0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10"/>
      <c r="D14" s="10"/>
      <c r="E14" s="9"/>
      <c r="F14" s="9"/>
      <c r="G14" s="9"/>
      <c r="H14" s="9"/>
      <c r="I14" s="9"/>
      <c r="J14" s="10"/>
      <c r="K14" s="10"/>
      <c r="L14" s="9"/>
      <c r="M14" s="9"/>
      <c r="N14" s="9"/>
      <c r="O14" s="9"/>
      <c r="P14" s="9"/>
      <c r="Q14" s="10"/>
      <c r="R14" s="10"/>
      <c r="S14" s="9"/>
      <c r="T14" s="9"/>
      <c r="U14" s="9"/>
      <c r="V14" s="9"/>
      <c r="W14" s="9"/>
      <c r="X14" s="10"/>
      <c r="Y14" s="10"/>
      <c r="Z14" s="9"/>
      <c r="AA14" s="9"/>
      <c r="AB14" s="9"/>
      <c r="AC14" s="9"/>
      <c r="AD14" s="9"/>
      <c r="AE14" s="10"/>
      <c r="AF14" s="10"/>
      <c r="AG14" s="9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0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10"/>
      <c r="D15" s="10"/>
      <c r="E15" s="9"/>
      <c r="F15" s="9"/>
      <c r="G15" s="9"/>
      <c r="H15" s="9"/>
      <c r="I15" s="9"/>
      <c r="J15" s="10"/>
      <c r="K15" s="10"/>
      <c r="L15" s="9"/>
      <c r="M15" s="9"/>
      <c r="N15" s="9"/>
      <c r="O15" s="9"/>
      <c r="P15" s="9"/>
      <c r="Q15" s="10"/>
      <c r="R15" s="10"/>
      <c r="S15" s="9"/>
      <c r="T15" s="9"/>
      <c r="U15" s="9"/>
      <c r="V15" s="9"/>
      <c r="W15" s="9"/>
      <c r="X15" s="10"/>
      <c r="Y15" s="10"/>
      <c r="Z15" s="9"/>
      <c r="AA15" s="9"/>
      <c r="AB15" s="9"/>
      <c r="AC15" s="9"/>
      <c r="AD15" s="9"/>
      <c r="AE15" s="10"/>
      <c r="AF15" s="10"/>
      <c r="AG15" s="9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0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10"/>
      <c r="D16" s="10"/>
      <c r="E16" s="9"/>
      <c r="F16" s="9"/>
      <c r="G16" s="9"/>
      <c r="H16" s="9"/>
      <c r="I16" s="9"/>
      <c r="J16" s="10"/>
      <c r="K16" s="10"/>
      <c r="L16" s="9"/>
      <c r="M16" s="9"/>
      <c r="N16" s="9"/>
      <c r="O16" s="9"/>
      <c r="P16" s="9"/>
      <c r="Q16" s="10"/>
      <c r="R16" s="10"/>
      <c r="S16" s="9"/>
      <c r="T16" s="9"/>
      <c r="U16" s="9"/>
      <c r="V16" s="9"/>
      <c r="W16" s="9"/>
      <c r="X16" s="10"/>
      <c r="Y16" s="10"/>
      <c r="Z16" s="9"/>
      <c r="AA16" s="9"/>
      <c r="AB16" s="9"/>
      <c r="AC16" s="9"/>
      <c r="AD16" s="9"/>
      <c r="AE16" s="10"/>
      <c r="AF16" s="10"/>
      <c r="AG16" s="9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0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10"/>
      <c r="D17" s="10"/>
      <c r="E17" s="9"/>
      <c r="F17" s="9"/>
      <c r="G17" s="9"/>
      <c r="H17" s="9"/>
      <c r="I17" s="9"/>
      <c r="J17" s="10"/>
      <c r="K17" s="10"/>
      <c r="L17" s="9"/>
      <c r="M17" s="9"/>
      <c r="N17" s="9"/>
      <c r="O17" s="9"/>
      <c r="P17" s="9"/>
      <c r="Q17" s="10"/>
      <c r="R17" s="10"/>
      <c r="S17" s="9"/>
      <c r="T17" s="9"/>
      <c r="U17" s="9"/>
      <c r="V17" s="9"/>
      <c r="W17" s="9"/>
      <c r="X17" s="10"/>
      <c r="Y17" s="10"/>
      <c r="Z17" s="9"/>
      <c r="AA17" s="9"/>
      <c r="AB17" s="9"/>
      <c r="AC17" s="9"/>
      <c r="AD17" s="9"/>
      <c r="AE17" s="10"/>
      <c r="AF17" s="10"/>
      <c r="AG17" s="9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0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10"/>
      <c r="D18" s="10"/>
      <c r="E18" s="9"/>
      <c r="F18" s="9"/>
      <c r="G18" s="9"/>
      <c r="H18" s="9"/>
      <c r="I18" s="9"/>
      <c r="J18" s="10"/>
      <c r="K18" s="10"/>
      <c r="L18" s="9"/>
      <c r="M18" s="9"/>
      <c r="N18" s="9"/>
      <c r="O18" s="9"/>
      <c r="P18" s="9"/>
      <c r="Q18" s="10"/>
      <c r="R18" s="10"/>
      <c r="S18" s="9"/>
      <c r="T18" s="9"/>
      <c r="U18" s="9"/>
      <c r="V18" s="9"/>
      <c r="W18" s="9"/>
      <c r="X18" s="10"/>
      <c r="Y18" s="10"/>
      <c r="Z18" s="9"/>
      <c r="AA18" s="9"/>
      <c r="AB18" s="9"/>
      <c r="AC18" s="9"/>
      <c r="AD18" s="9"/>
      <c r="AE18" s="10"/>
      <c r="AF18" s="10"/>
      <c r="AG18" s="9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0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10"/>
      <c r="D19" s="10"/>
      <c r="E19" s="9"/>
      <c r="F19" s="9"/>
      <c r="G19" s="9"/>
      <c r="H19" s="9"/>
      <c r="I19" s="9"/>
      <c r="J19" s="10"/>
      <c r="K19" s="10"/>
      <c r="L19" s="9"/>
      <c r="M19" s="9"/>
      <c r="N19" s="9"/>
      <c r="O19" s="9"/>
      <c r="P19" s="9"/>
      <c r="Q19" s="10"/>
      <c r="R19" s="10"/>
      <c r="S19" s="9"/>
      <c r="T19" s="9"/>
      <c r="U19" s="9"/>
      <c r="V19" s="9"/>
      <c r="W19" s="9"/>
      <c r="X19" s="10"/>
      <c r="Y19" s="10"/>
      <c r="Z19" s="9"/>
      <c r="AA19" s="9"/>
      <c r="AB19" s="9"/>
      <c r="AC19" s="9"/>
      <c r="AD19" s="9"/>
      <c r="AE19" s="10"/>
      <c r="AF19" s="10"/>
      <c r="AG19" s="9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0</v>
      </c>
    </row>
    <row r="20" customFormat="false" ht="19.5" hidden="false" customHeight="true" outlineLevel="0" collapsed="false">
      <c r="B20" s="8" t="s">
        <v>79</v>
      </c>
      <c r="C20" s="10"/>
      <c r="D20" s="10"/>
      <c r="E20" s="9"/>
      <c r="F20" s="9"/>
      <c r="G20" s="9"/>
      <c r="H20" s="9"/>
      <c r="I20" s="9"/>
      <c r="J20" s="10"/>
      <c r="K20" s="10"/>
      <c r="L20" s="9"/>
      <c r="M20" s="9"/>
      <c r="N20" s="9"/>
      <c r="O20" s="9"/>
      <c r="P20" s="9"/>
      <c r="Q20" s="10"/>
      <c r="R20" s="10"/>
      <c r="S20" s="9"/>
      <c r="T20" s="9"/>
      <c r="U20" s="9"/>
      <c r="V20" s="9"/>
      <c r="W20" s="9"/>
      <c r="X20" s="10"/>
      <c r="Y20" s="10"/>
      <c r="Z20" s="9"/>
      <c r="AA20" s="9"/>
      <c r="AB20" s="9"/>
      <c r="AC20" s="9"/>
      <c r="AD20" s="9"/>
      <c r="AE20" s="10"/>
      <c r="AF20" s="10"/>
      <c r="AG20" s="9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0</v>
      </c>
    </row>
    <row r="21" customFormat="false" ht="19.5" hidden="false" customHeight="true" outlineLevel="0" collapsed="false">
      <c r="B21" s="8" t="n">
        <f aca="false">'January 2026'!B21</f>
        <v>0</v>
      </c>
      <c r="C21" s="10"/>
      <c r="D21" s="10"/>
      <c r="E21" s="9"/>
      <c r="F21" s="9"/>
      <c r="G21" s="9"/>
      <c r="H21" s="9"/>
      <c r="I21" s="9"/>
      <c r="J21" s="10"/>
      <c r="K21" s="10"/>
      <c r="L21" s="9"/>
      <c r="M21" s="9"/>
      <c r="N21" s="9"/>
      <c r="O21" s="9"/>
      <c r="P21" s="9"/>
      <c r="Q21" s="10"/>
      <c r="R21" s="10"/>
      <c r="S21" s="9"/>
      <c r="T21" s="9"/>
      <c r="U21" s="9"/>
      <c r="V21" s="9"/>
      <c r="W21" s="9"/>
      <c r="X21" s="10"/>
      <c r="Y21" s="10"/>
      <c r="Z21" s="9"/>
      <c r="AA21" s="9"/>
      <c r="AB21" s="9"/>
      <c r="AC21" s="9"/>
      <c r="AD21" s="9"/>
      <c r="AE21" s="10"/>
      <c r="AF21" s="10"/>
      <c r="AG21" s="9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10"/>
      <c r="D22" s="10"/>
      <c r="E22" s="9"/>
      <c r="F22" s="9"/>
      <c r="G22" s="9"/>
      <c r="H22" s="9"/>
      <c r="I22" s="9"/>
      <c r="J22" s="10"/>
      <c r="K22" s="10"/>
      <c r="L22" s="9"/>
      <c r="M22" s="9"/>
      <c r="N22" s="9"/>
      <c r="O22" s="9"/>
      <c r="P22" s="9"/>
      <c r="Q22" s="10"/>
      <c r="R22" s="10"/>
      <c r="S22" s="9"/>
      <c r="T22" s="9"/>
      <c r="U22" s="9"/>
      <c r="V22" s="9"/>
      <c r="W22" s="9"/>
      <c r="X22" s="10"/>
      <c r="Y22" s="10"/>
      <c r="Z22" s="9"/>
      <c r="AA22" s="9"/>
      <c r="AB22" s="9"/>
      <c r="AC22" s="9"/>
      <c r="AD22" s="9"/>
      <c r="AE22" s="10"/>
      <c r="AF22" s="10"/>
      <c r="AG22" s="9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10"/>
      <c r="D23" s="10"/>
      <c r="E23" s="9"/>
      <c r="F23" s="9"/>
      <c r="G23" s="9"/>
      <c r="H23" s="9"/>
      <c r="I23" s="9"/>
      <c r="J23" s="10"/>
      <c r="K23" s="10"/>
      <c r="L23" s="9"/>
      <c r="M23" s="9"/>
      <c r="N23" s="9"/>
      <c r="O23" s="9"/>
      <c r="P23" s="9"/>
      <c r="Q23" s="10"/>
      <c r="R23" s="10"/>
      <c r="S23" s="9"/>
      <c r="T23" s="9"/>
      <c r="U23" s="9"/>
      <c r="V23" s="9"/>
      <c r="W23" s="9"/>
      <c r="X23" s="10"/>
      <c r="Y23" s="10"/>
      <c r="Z23" s="9"/>
      <c r="AA23" s="9"/>
      <c r="AB23" s="9"/>
      <c r="AC23" s="9"/>
      <c r="AD23" s="9"/>
      <c r="AE23" s="10"/>
      <c r="AF23" s="10"/>
      <c r="AG23" s="9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10"/>
      <c r="D24" s="10"/>
      <c r="E24" s="9"/>
      <c r="F24" s="9"/>
      <c r="G24" s="9"/>
      <c r="H24" s="9"/>
      <c r="I24" s="9"/>
      <c r="J24" s="10"/>
      <c r="K24" s="10"/>
      <c r="L24" s="9"/>
      <c r="M24" s="9"/>
      <c r="N24" s="9"/>
      <c r="O24" s="9"/>
      <c r="P24" s="9"/>
      <c r="Q24" s="10"/>
      <c r="R24" s="10"/>
      <c r="S24" s="9"/>
      <c r="T24" s="9"/>
      <c r="U24" s="9"/>
      <c r="V24" s="9"/>
      <c r="W24" s="9"/>
      <c r="X24" s="10"/>
      <c r="Y24" s="10"/>
      <c r="Z24" s="9"/>
      <c r="AA24" s="9"/>
      <c r="AB24" s="9"/>
      <c r="AC24" s="9"/>
      <c r="AD24" s="9"/>
      <c r="AE24" s="10"/>
      <c r="AF24" s="10"/>
      <c r="AG24" s="9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10"/>
      <c r="D25" s="10"/>
      <c r="E25" s="9"/>
      <c r="F25" s="9"/>
      <c r="G25" s="9"/>
      <c r="H25" s="9"/>
      <c r="I25" s="9"/>
      <c r="J25" s="10"/>
      <c r="K25" s="10"/>
      <c r="L25" s="9"/>
      <c r="M25" s="9"/>
      <c r="N25" s="9"/>
      <c r="O25" s="9"/>
      <c r="P25" s="9"/>
      <c r="Q25" s="10"/>
      <c r="R25" s="10"/>
      <c r="S25" s="9"/>
      <c r="T25" s="9"/>
      <c r="U25" s="9"/>
      <c r="V25" s="9"/>
      <c r="W25" s="9"/>
      <c r="X25" s="10"/>
      <c r="Y25" s="10"/>
      <c r="Z25" s="9"/>
      <c r="AA25" s="9"/>
      <c r="AB25" s="9"/>
      <c r="AC25" s="9"/>
      <c r="AD25" s="9"/>
      <c r="AE25" s="10"/>
      <c r="AF25" s="10"/>
      <c r="AG25" s="9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10"/>
      <c r="D26" s="10"/>
      <c r="E26" s="9"/>
      <c r="F26" s="9"/>
      <c r="G26" s="9"/>
      <c r="H26" s="9"/>
      <c r="I26" s="9"/>
      <c r="J26" s="10"/>
      <c r="K26" s="10"/>
      <c r="L26" s="9"/>
      <c r="M26" s="9"/>
      <c r="N26" s="9"/>
      <c r="O26" s="9"/>
      <c r="P26" s="9"/>
      <c r="Q26" s="10"/>
      <c r="R26" s="10"/>
      <c r="S26" s="9"/>
      <c r="T26" s="9"/>
      <c r="U26" s="9"/>
      <c r="V26" s="9"/>
      <c r="W26" s="9"/>
      <c r="X26" s="10"/>
      <c r="Y26" s="10"/>
      <c r="Z26" s="9"/>
      <c r="AA26" s="9"/>
      <c r="AB26" s="9"/>
      <c r="AC26" s="9"/>
      <c r="AD26" s="9"/>
      <c r="AE26" s="10"/>
      <c r="AF26" s="10"/>
      <c r="AG26" s="9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10"/>
      <c r="D27" s="10"/>
      <c r="E27" s="9"/>
      <c r="F27" s="9"/>
      <c r="G27" s="9"/>
      <c r="H27" s="9"/>
      <c r="I27" s="9"/>
      <c r="J27" s="10"/>
      <c r="K27" s="10"/>
      <c r="L27" s="9"/>
      <c r="M27" s="9"/>
      <c r="N27" s="9"/>
      <c r="O27" s="9"/>
      <c r="P27" s="9"/>
      <c r="Q27" s="10"/>
      <c r="R27" s="10"/>
      <c r="S27" s="9"/>
      <c r="T27" s="9"/>
      <c r="U27" s="9"/>
      <c r="V27" s="9"/>
      <c r="W27" s="9"/>
      <c r="X27" s="10"/>
      <c r="Y27" s="10"/>
      <c r="Z27" s="9"/>
      <c r="AA27" s="9"/>
      <c r="AB27" s="9"/>
      <c r="AC27" s="9"/>
      <c r="AD27" s="9"/>
      <c r="AE27" s="10"/>
      <c r="AF27" s="10"/>
      <c r="AG27" s="9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10"/>
      <c r="D28" s="10"/>
      <c r="E28" s="9"/>
      <c r="F28" s="9"/>
      <c r="G28" s="9"/>
      <c r="H28" s="9"/>
      <c r="I28" s="9"/>
      <c r="J28" s="10"/>
      <c r="K28" s="10"/>
      <c r="L28" s="9"/>
      <c r="M28" s="9"/>
      <c r="N28" s="9"/>
      <c r="O28" s="9"/>
      <c r="P28" s="9"/>
      <c r="Q28" s="10"/>
      <c r="R28" s="10"/>
      <c r="S28" s="9"/>
      <c r="T28" s="9"/>
      <c r="U28" s="9"/>
      <c r="V28" s="9"/>
      <c r="W28" s="9"/>
      <c r="X28" s="10"/>
      <c r="Y28" s="10"/>
      <c r="Z28" s="9"/>
      <c r="AA28" s="9"/>
      <c r="AB28" s="9"/>
      <c r="AC28" s="9"/>
      <c r="AD28" s="9"/>
      <c r="AE28" s="10"/>
      <c r="AF28" s="10"/>
      <c r="AG28" s="9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10"/>
      <c r="D29" s="10"/>
      <c r="E29" s="9"/>
      <c r="F29" s="9"/>
      <c r="G29" s="9"/>
      <c r="H29" s="9"/>
      <c r="I29" s="9"/>
      <c r="J29" s="10"/>
      <c r="K29" s="10"/>
      <c r="L29" s="9"/>
      <c r="M29" s="9"/>
      <c r="N29" s="9"/>
      <c r="O29" s="9"/>
      <c r="P29" s="9"/>
      <c r="Q29" s="10"/>
      <c r="R29" s="10"/>
      <c r="S29" s="9"/>
      <c r="T29" s="9"/>
      <c r="U29" s="9"/>
      <c r="V29" s="9"/>
      <c r="W29" s="9"/>
      <c r="X29" s="10"/>
      <c r="Y29" s="10"/>
      <c r="Z29" s="9"/>
      <c r="AA29" s="9"/>
      <c r="AB29" s="9"/>
      <c r="AC29" s="9"/>
      <c r="AD29" s="9"/>
      <c r="AE29" s="10"/>
      <c r="AF29" s="10"/>
      <c r="AG29" s="9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10"/>
      <c r="D30" s="10"/>
      <c r="E30" s="9"/>
      <c r="F30" s="9"/>
      <c r="G30" s="9"/>
      <c r="H30" s="9"/>
      <c r="I30" s="9"/>
      <c r="J30" s="10"/>
      <c r="K30" s="10"/>
      <c r="L30" s="9"/>
      <c r="M30" s="9"/>
      <c r="N30" s="9"/>
      <c r="O30" s="9"/>
      <c r="P30" s="9"/>
      <c r="Q30" s="10"/>
      <c r="R30" s="10"/>
      <c r="S30" s="9"/>
      <c r="T30" s="9"/>
      <c r="U30" s="9"/>
      <c r="V30" s="9"/>
      <c r="W30" s="9"/>
      <c r="X30" s="10"/>
      <c r="Y30" s="10"/>
      <c r="Z30" s="9"/>
      <c r="AA30" s="9"/>
      <c r="AB30" s="9"/>
      <c r="AC30" s="9"/>
      <c r="AD30" s="9"/>
      <c r="AE30" s="10"/>
      <c r="AF30" s="10"/>
      <c r="AG30" s="9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10"/>
      <c r="D31" s="10"/>
      <c r="E31" s="9"/>
      <c r="F31" s="9"/>
      <c r="G31" s="9"/>
      <c r="H31" s="9"/>
      <c r="I31" s="9"/>
      <c r="J31" s="10"/>
      <c r="K31" s="10"/>
      <c r="L31" s="9"/>
      <c r="M31" s="9"/>
      <c r="N31" s="9"/>
      <c r="O31" s="9"/>
      <c r="P31" s="9"/>
      <c r="Q31" s="10"/>
      <c r="R31" s="10"/>
      <c r="S31" s="9"/>
      <c r="T31" s="9"/>
      <c r="U31" s="9"/>
      <c r="V31" s="9"/>
      <c r="W31" s="9"/>
      <c r="X31" s="10"/>
      <c r="Y31" s="10"/>
      <c r="Z31" s="9"/>
      <c r="AA31" s="9"/>
      <c r="AB31" s="9"/>
      <c r="AC31" s="9"/>
      <c r="AD31" s="9"/>
      <c r="AE31" s="10"/>
      <c r="AF31" s="10"/>
      <c r="AG31" s="9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10"/>
      <c r="D32" s="10"/>
      <c r="E32" s="9"/>
      <c r="F32" s="9"/>
      <c r="G32" s="9"/>
      <c r="H32" s="9"/>
      <c r="I32" s="9"/>
      <c r="J32" s="10"/>
      <c r="K32" s="10"/>
      <c r="L32" s="9"/>
      <c r="M32" s="9"/>
      <c r="N32" s="9"/>
      <c r="O32" s="9"/>
      <c r="P32" s="9"/>
      <c r="Q32" s="10"/>
      <c r="R32" s="10"/>
      <c r="S32" s="9"/>
      <c r="T32" s="9"/>
      <c r="U32" s="9"/>
      <c r="V32" s="9"/>
      <c r="W32" s="9"/>
      <c r="X32" s="10"/>
      <c r="Y32" s="10"/>
      <c r="Z32" s="9"/>
      <c r="AA32" s="9"/>
      <c r="AB32" s="9"/>
      <c r="AC32" s="9"/>
      <c r="AD32" s="9"/>
      <c r="AE32" s="10"/>
      <c r="AF32" s="10"/>
      <c r="AG32" s="9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10"/>
      <c r="D33" s="10"/>
      <c r="E33" s="9"/>
      <c r="F33" s="9"/>
      <c r="G33" s="9"/>
      <c r="H33" s="9"/>
      <c r="I33" s="9"/>
      <c r="J33" s="10"/>
      <c r="K33" s="10"/>
      <c r="L33" s="9"/>
      <c r="M33" s="9"/>
      <c r="N33" s="9"/>
      <c r="O33" s="9"/>
      <c r="P33" s="9"/>
      <c r="Q33" s="10"/>
      <c r="R33" s="10"/>
      <c r="S33" s="9"/>
      <c r="T33" s="9"/>
      <c r="U33" s="9"/>
      <c r="V33" s="9"/>
      <c r="W33" s="9"/>
      <c r="X33" s="10"/>
      <c r="Y33" s="10"/>
      <c r="Z33" s="9"/>
      <c r="AA33" s="9"/>
      <c r="AB33" s="9"/>
      <c r="AC33" s="9"/>
      <c r="AD33" s="9"/>
      <c r="AE33" s="10"/>
      <c r="AF33" s="10"/>
      <c r="AG33" s="9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10"/>
      <c r="D34" s="10"/>
      <c r="E34" s="9"/>
      <c r="F34" s="9"/>
      <c r="G34" s="9"/>
      <c r="H34" s="9"/>
      <c r="I34" s="9"/>
      <c r="J34" s="10"/>
      <c r="K34" s="10"/>
      <c r="L34" s="9"/>
      <c r="M34" s="9"/>
      <c r="N34" s="9"/>
      <c r="O34" s="9"/>
      <c r="P34" s="9"/>
      <c r="Q34" s="10"/>
      <c r="R34" s="10"/>
      <c r="S34" s="9"/>
      <c r="T34" s="9"/>
      <c r="U34" s="9"/>
      <c r="V34" s="9"/>
      <c r="W34" s="9"/>
      <c r="X34" s="10"/>
      <c r="Y34" s="10"/>
      <c r="Z34" s="9"/>
      <c r="AA34" s="9"/>
      <c r="AB34" s="9"/>
      <c r="AC34" s="9"/>
      <c r="AD34" s="9"/>
      <c r="AE34" s="10"/>
      <c r="AF34" s="10"/>
      <c r="AG34" s="9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10"/>
      <c r="D35" s="10"/>
      <c r="E35" s="9"/>
      <c r="F35" s="9"/>
      <c r="G35" s="9"/>
      <c r="H35" s="9"/>
      <c r="I35" s="9"/>
      <c r="J35" s="10"/>
      <c r="K35" s="10"/>
      <c r="L35" s="9"/>
      <c r="M35" s="9"/>
      <c r="N35" s="9"/>
      <c r="O35" s="9"/>
      <c r="P35" s="9"/>
      <c r="Q35" s="10"/>
      <c r="R35" s="10"/>
      <c r="S35" s="9"/>
      <c r="T35" s="9"/>
      <c r="U35" s="9"/>
      <c r="V35" s="9"/>
      <c r="W35" s="9"/>
      <c r="X35" s="10"/>
      <c r="Y35" s="10"/>
      <c r="Z35" s="9"/>
      <c r="AA35" s="9"/>
      <c r="AB35" s="9"/>
      <c r="AC35" s="9"/>
      <c r="AD35" s="9"/>
      <c r="AE35" s="10"/>
      <c r="AF35" s="10"/>
      <c r="AG35" s="9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10"/>
      <c r="D36" s="10"/>
      <c r="E36" s="9"/>
      <c r="F36" s="9"/>
      <c r="G36" s="9"/>
      <c r="H36" s="9"/>
      <c r="I36" s="9"/>
      <c r="J36" s="10"/>
      <c r="K36" s="10"/>
      <c r="L36" s="9"/>
      <c r="M36" s="9"/>
      <c r="N36" s="9"/>
      <c r="O36" s="9"/>
      <c r="P36" s="9"/>
      <c r="Q36" s="10"/>
      <c r="R36" s="10"/>
      <c r="S36" s="9"/>
      <c r="T36" s="9"/>
      <c r="U36" s="9"/>
      <c r="V36" s="9"/>
      <c r="W36" s="9"/>
      <c r="X36" s="10"/>
      <c r="Y36" s="10"/>
      <c r="Z36" s="9"/>
      <c r="AA36" s="9"/>
      <c r="AB36" s="9"/>
      <c r="AC36" s="9"/>
      <c r="AD36" s="9"/>
      <c r="AE36" s="10"/>
      <c r="AF36" s="10"/>
      <c r="AG36" s="9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10"/>
      <c r="D37" s="10"/>
      <c r="E37" s="9"/>
      <c r="F37" s="9"/>
      <c r="G37" s="9"/>
      <c r="H37" s="9"/>
      <c r="I37" s="9"/>
      <c r="J37" s="10"/>
      <c r="K37" s="10"/>
      <c r="L37" s="9"/>
      <c r="M37" s="9"/>
      <c r="N37" s="9"/>
      <c r="O37" s="9"/>
      <c r="P37" s="9"/>
      <c r="Q37" s="10"/>
      <c r="R37" s="10"/>
      <c r="S37" s="9"/>
      <c r="T37" s="9"/>
      <c r="U37" s="9"/>
      <c r="V37" s="9"/>
      <c r="W37" s="9"/>
      <c r="X37" s="10"/>
      <c r="Y37" s="10"/>
      <c r="Z37" s="9"/>
      <c r="AA37" s="9"/>
      <c r="AB37" s="9"/>
      <c r="AC37" s="9"/>
      <c r="AD37" s="9"/>
      <c r="AE37" s="10"/>
      <c r="AF37" s="10"/>
      <c r="AG37" s="9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10"/>
      <c r="D38" s="10"/>
      <c r="E38" s="9"/>
      <c r="F38" s="9"/>
      <c r="G38" s="9"/>
      <c r="H38" s="9"/>
      <c r="I38" s="9"/>
      <c r="J38" s="10"/>
      <c r="K38" s="10"/>
      <c r="L38" s="9"/>
      <c r="M38" s="9"/>
      <c r="N38" s="9"/>
      <c r="O38" s="9"/>
      <c r="P38" s="9"/>
      <c r="Q38" s="10"/>
      <c r="R38" s="10"/>
      <c r="S38" s="9"/>
      <c r="T38" s="9"/>
      <c r="U38" s="9"/>
      <c r="V38" s="9"/>
      <c r="W38" s="9"/>
      <c r="X38" s="10"/>
      <c r="Y38" s="10"/>
      <c r="Z38" s="9"/>
      <c r="AA38" s="9"/>
      <c r="AB38" s="9"/>
      <c r="AC38" s="9"/>
      <c r="AD38" s="9"/>
      <c r="AE38" s="10"/>
      <c r="AF38" s="10"/>
      <c r="AG38" s="9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10"/>
      <c r="D39" s="10"/>
      <c r="E39" s="9"/>
      <c r="F39" s="9"/>
      <c r="G39" s="9"/>
      <c r="H39" s="9"/>
      <c r="I39" s="9"/>
      <c r="J39" s="10"/>
      <c r="K39" s="10"/>
      <c r="L39" s="9"/>
      <c r="M39" s="9"/>
      <c r="N39" s="9"/>
      <c r="O39" s="9"/>
      <c r="P39" s="9"/>
      <c r="Q39" s="10"/>
      <c r="R39" s="10"/>
      <c r="S39" s="9"/>
      <c r="T39" s="9"/>
      <c r="U39" s="9"/>
      <c r="V39" s="9"/>
      <c r="W39" s="9"/>
      <c r="X39" s="10"/>
      <c r="Y39" s="10"/>
      <c r="Z39" s="9"/>
      <c r="AA39" s="9"/>
      <c r="AB39" s="9"/>
      <c r="AC39" s="9"/>
      <c r="AD39" s="9"/>
      <c r="AE39" s="10"/>
      <c r="AF39" s="10"/>
      <c r="AG39" s="9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10"/>
      <c r="D40" s="10"/>
      <c r="E40" s="9"/>
      <c r="F40" s="9"/>
      <c r="G40" s="9"/>
      <c r="H40" s="9"/>
      <c r="I40" s="9"/>
      <c r="J40" s="10"/>
      <c r="K40" s="10"/>
      <c r="L40" s="9"/>
      <c r="M40" s="9"/>
      <c r="N40" s="9"/>
      <c r="O40" s="9"/>
      <c r="P40" s="9"/>
      <c r="Q40" s="10"/>
      <c r="R40" s="10"/>
      <c r="S40" s="9"/>
      <c r="T40" s="9"/>
      <c r="U40" s="9"/>
      <c r="V40" s="9"/>
      <c r="W40" s="9"/>
      <c r="X40" s="10"/>
      <c r="Y40" s="10"/>
      <c r="Z40" s="9"/>
      <c r="AA40" s="9"/>
      <c r="AB40" s="9"/>
      <c r="AC40" s="9"/>
      <c r="AD40" s="9"/>
      <c r="AE40" s="10"/>
      <c r="AF40" s="10"/>
      <c r="AG40" s="9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10"/>
      <c r="D41" s="10"/>
      <c r="E41" s="9"/>
      <c r="F41" s="9"/>
      <c r="G41" s="9"/>
      <c r="H41" s="9"/>
      <c r="I41" s="9"/>
      <c r="J41" s="10"/>
      <c r="K41" s="10"/>
      <c r="L41" s="9"/>
      <c r="M41" s="9"/>
      <c r="N41" s="9"/>
      <c r="O41" s="9"/>
      <c r="P41" s="9"/>
      <c r="Q41" s="10"/>
      <c r="R41" s="10"/>
      <c r="S41" s="9"/>
      <c r="T41" s="9"/>
      <c r="U41" s="9"/>
      <c r="V41" s="9"/>
      <c r="W41" s="9"/>
      <c r="X41" s="10"/>
      <c r="Y41" s="10"/>
      <c r="Z41" s="9"/>
      <c r="AA41" s="9"/>
      <c r="AB41" s="9"/>
      <c r="AC41" s="9"/>
      <c r="AD41" s="9"/>
      <c r="AE41" s="10"/>
      <c r="AF41" s="10"/>
      <c r="AG41" s="9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10"/>
      <c r="D42" s="10"/>
      <c r="E42" s="9"/>
      <c r="F42" s="9"/>
      <c r="G42" s="9"/>
      <c r="H42" s="9"/>
      <c r="I42" s="9"/>
      <c r="J42" s="10"/>
      <c r="K42" s="10"/>
      <c r="L42" s="9"/>
      <c r="M42" s="9"/>
      <c r="N42" s="9"/>
      <c r="O42" s="9"/>
      <c r="P42" s="9"/>
      <c r="Q42" s="10"/>
      <c r="R42" s="10"/>
      <c r="S42" s="9"/>
      <c r="T42" s="9"/>
      <c r="U42" s="9"/>
      <c r="V42" s="9"/>
      <c r="W42" s="9"/>
      <c r="X42" s="10"/>
      <c r="Y42" s="10"/>
      <c r="Z42" s="9"/>
      <c r="AA42" s="9"/>
      <c r="AB42" s="9"/>
      <c r="AC42" s="9"/>
      <c r="AD42" s="9"/>
      <c r="AE42" s="10"/>
      <c r="AF42" s="10"/>
      <c r="AG42" s="9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10"/>
      <c r="D43" s="10"/>
      <c r="E43" s="9"/>
      <c r="F43" s="9"/>
      <c r="G43" s="9"/>
      <c r="H43" s="9"/>
      <c r="I43" s="9"/>
      <c r="J43" s="10"/>
      <c r="K43" s="10"/>
      <c r="L43" s="9"/>
      <c r="M43" s="9"/>
      <c r="N43" s="9"/>
      <c r="O43" s="9"/>
      <c r="P43" s="9"/>
      <c r="Q43" s="10"/>
      <c r="R43" s="10"/>
      <c r="S43" s="9"/>
      <c r="T43" s="9"/>
      <c r="U43" s="9"/>
      <c r="V43" s="9"/>
      <c r="W43" s="9"/>
      <c r="X43" s="10"/>
      <c r="Y43" s="10"/>
      <c r="Z43" s="9"/>
      <c r="AA43" s="9"/>
      <c r="AB43" s="9"/>
      <c r="AC43" s="9"/>
      <c r="AD43" s="9"/>
      <c r="AE43" s="10"/>
      <c r="AF43" s="10"/>
      <c r="AG43" s="9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10"/>
      <c r="D44" s="10"/>
      <c r="E44" s="9"/>
      <c r="F44" s="9"/>
      <c r="G44" s="9"/>
      <c r="H44" s="9"/>
      <c r="I44" s="9"/>
      <c r="J44" s="10"/>
      <c r="K44" s="10"/>
      <c r="L44" s="9"/>
      <c r="M44" s="9"/>
      <c r="N44" s="9"/>
      <c r="O44" s="9"/>
      <c r="P44" s="9"/>
      <c r="Q44" s="10"/>
      <c r="R44" s="10"/>
      <c r="S44" s="9"/>
      <c r="T44" s="9"/>
      <c r="U44" s="9"/>
      <c r="V44" s="9"/>
      <c r="W44" s="9"/>
      <c r="X44" s="10"/>
      <c r="Y44" s="10"/>
      <c r="Z44" s="9"/>
      <c r="AA44" s="9"/>
      <c r="AB44" s="9"/>
      <c r="AC44" s="9"/>
      <c r="AD44" s="9"/>
      <c r="AE44" s="10"/>
      <c r="AF44" s="10"/>
      <c r="AG44" s="9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10"/>
      <c r="D45" s="10"/>
      <c r="E45" s="9"/>
      <c r="F45" s="9"/>
      <c r="G45" s="9"/>
      <c r="H45" s="9"/>
      <c r="I45" s="9"/>
      <c r="J45" s="10"/>
      <c r="K45" s="10"/>
      <c r="L45" s="9"/>
      <c r="M45" s="9"/>
      <c r="N45" s="9"/>
      <c r="O45" s="9"/>
      <c r="P45" s="9"/>
      <c r="Q45" s="10"/>
      <c r="R45" s="10"/>
      <c r="S45" s="9"/>
      <c r="T45" s="9"/>
      <c r="U45" s="9"/>
      <c r="V45" s="9"/>
      <c r="W45" s="9"/>
      <c r="X45" s="10"/>
      <c r="Y45" s="10"/>
      <c r="Z45" s="9"/>
      <c r="AA45" s="9"/>
      <c r="AB45" s="9"/>
      <c r="AC45" s="9"/>
      <c r="AD45" s="9"/>
      <c r="AE45" s="10"/>
      <c r="AF45" s="10"/>
      <c r="AG45" s="9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10"/>
      <c r="D46" s="10"/>
      <c r="E46" s="9"/>
      <c r="F46" s="9"/>
      <c r="G46" s="9"/>
      <c r="H46" s="9"/>
      <c r="I46" s="9"/>
      <c r="J46" s="10"/>
      <c r="K46" s="10"/>
      <c r="L46" s="9"/>
      <c r="M46" s="9"/>
      <c r="N46" s="9"/>
      <c r="O46" s="9"/>
      <c r="P46" s="9"/>
      <c r="Q46" s="10"/>
      <c r="R46" s="10"/>
      <c r="S46" s="9"/>
      <c r="T46" s="9"/>
      <c r="U46" s="9"/>
      <c r="V46" s="9"/>
      <c r="W46" s="9"/>
      <c r="X46" s="10"/>
      <c r="Y46" s="10"/>
      <c r="Z46" s="9"/>
      <c r="AA46" s="9"/>
      <c r="AB46" s="9"/>
      <c r="AC46" s="9"/>
      <c r="AD46" s="9"/>
      <c r="AE46" s="10"/>
      <c r="AF46" s="10"/>
      <c r="AG46" s="9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10"/>
      <c r="D47" s="10"/>
      <c r="E47" s="9"/>
      <c r="F47" s="9"/>
      <c r="G47" s="9"/>
      <c r="H47" s="9"/>
      <c r="I47" s="9"/>
      <c r="J47" s="10"/>
      <c r="K47" s="10"/>
      <c r="L47" s="9"/>
      <c r="M47" s="9"/>
      <c r="N47" s="9"/>
      <c r="O47" s="9"/>
      <c r="P47" s="9"/>
      <c r="Q47" s="10"/>
      <c r="R47" s="10"/>
      <c r="S47" s="9"/>
      <c r="T47" s="9"/>
      <c r="U47" s="9"/>
      <c r="V47" s="9"/>
      <c r="W47" s="9"/>
      <c r="X47" s="10"/>
      <c r="Y47" s="10"/>
      <c r="Z47" s="9"/>
      <c r="AA47" s="9"/>
      <c r="AB47" s="9"/>
      <c r="AC47" s="9"/>
      <c r="AD47" s="9"/>
      <c r="AE47" s="10"/>
      <c r="AF47" s="10"/>
      <c r="AG47" s="9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10"/>
      <c r="D48" s="10"/>
      <c r="E48" s="9"/>
      <c r="F48" s="9"/>
      <c r="G48" s="9"/>
      <c r="H48" s="9"/>
      <c r="I48" s="9"/>
      <c r="J48" s="10"/>
      <c r="K48" s="10"/>
      <c r="L48" s="9"/>
      <c r="M48" s="9"/>
      <c r="N48" s="9"/>
      <c r="O48" s="9"/>
      <c r="P48" s="9"/>
      <c r="Q48" s="10"/>
      <c r="R48" s="10"/>
      <c r="S48" s="9"/>
      <c r="T48" s="9"/>
      <c r="U48" s="9"/>
      <c r="V48" s="9"/>
      <c r="W48" s="9"/>
      <c r="X48" s="10"/>
      <c r="Y48" s="10"/>
      <c r="Z48" s="9"/>
      <c r="AA48" s="9"/>
      <c r="AB48" s="9"/>
      <c r="AC48" s="9"/>
      <c r="AD48" s="9"/>
      <c r="AE48" s="10"/>
      <c r="AF48" s="10"/>
      <c r="AG48" s="9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10"/>
      <c r="D49" s="10"/>
      <c r="E49" s="9"/>
      <c r="F49" s="9"/>
      <c r="G49" s="9"/>
      <c r="H49" s="9"/>
      <c r="I49" s="9"/>
      <c r="J49" s="10"/>
      <c r="K49" s="10"/>
      <c r="L49" s="9"/>
      <c r="M49" s="9"/>
      <c r="N49" s="9"/>
      <c r="O49" s="9"/>
      <c r="P49" s="9"/>
      <c r="Q49" s="10"/>
      <c r="R49" s="10"/>
      <c r="S49" s="9"/>
      <c r="T49" s="9"/>
      <c r="U49" s="9"/>
      <c r="V49" s="9"/>
      <c r="W49" s="9"/>
      <c r="X49" s="10"/>
      <c r="Y49" s="10"/>
      <c r="Z49" s="9"/>
      <c r="AA49" s="9"/>
      <c r="AB49" s="9"/>
      <c r="AC49" s="9"/>
      <c r="AD49" s="9"/>
      <c r="AE49" s="10"/>
      <c r="AF49" s="10"/>
      <c r="AG49" s="9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10"/>
      <c r="D50" s="10"/>
      <c r="E50" s="9"/>
      <c r="F50" s="9"/>
      <c r="G50" s="9"/>
      <c r="H50" s="9"/>
      <c r="I50" s="9"/>
      <c r="J50" s="10"/>
      <c r="K50" s="10"/>
      <c r="L50" s="9"/>
      <c r="M50" s="9"/>
      <c r="N50" s="9"/>
      <c r="O50" s="9"/>
      <c r="P50" s="9"/>
      <c r="Q50" s="10"/>
      <c r="R50" s="10"/>
      <c r="S50" s="9"/>
      <c r="T50" s="9"/>
      <c r="U50" s="9"/>
      <c r="V50" s="9"/>
      <c r="W50" s="9"/>
      <c r="X50" s="10"/>
      <c r="Y50" s="10"/>
      <c r="Z50" s="9"/>
      <c r="AA50" s="9"/>
      <c r="AB50" s="9"/>
      <c r="AC50" s="9"/>
      <c r="AD50" s="9"/>
      <c r="AE50" s="10"/>
      <c r="AF50" s="10"/>
      <c r="AG50" s="9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10"/>
      <c r="D51" s="10"/>
      <c r="E51" s="9"/>
      <c r="F51" s="9"/>
      <c r="G51" s="9"/>
      <c r="H51" s="9"/>
      <c r="I51" s="9"/>
      <c r="J51" s="10"/>
      <c r="K51" s="10"/>
      <c r="L51" s="9"/>
      <c r="M51" s="9"/>
      <c r="N51" s="9"/>
      <c r="O51" s="9"/>
      <c r="P51" s="9"/>
      <c r="Q51" s="10"/>
      <c r="R51" s="10"/>
      <c r="S51" s="9"/>
      <c r="T51" s="9"/>
      <c r="U51" s="9"/>
      <c r="V51" s="9"/>
      <c r="W51" s="9"/>
      <c r="X51" s="10"/>
      <c r="Y51" s="10"/>
      <c r="Z51" s="9"/>
      <c r="AA51" s="9"/>
      <c r="AB51" s="9"/>
      <c r="AC51" s="9"/>
      <c r="AD51" s="9"/>
      <c r="AE51" s="10"/>
      <c r="AF51" s="10"/>
      <c r="AG51" s="9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10"/>
      <c r="D52" s="10"/>
      <c r="E52" s="9"/>
      <c r="F52" s="9"/>
      <c r="G52" s="9"/>
      <c r="H52" s="9"/>
      <c r="I52" s="9"/>
      <c r="J52" s="10"/>
      <c r="K52" s="10"/>
      <c r="L52" s="9"/>
      <c r="M52" s="9"/>
      <c r="N52" s="9"/>
      <c r="O52" s="9"/>
      <c r="P52" s="9"/>
      <c r="Q52" s="10"/>
      <c r="R52" s="10"/>
      <c r="S52" s="9"/>
      <c r="T52" s="9"/>
      <c r="U52" s="9"/>
      <c r="V52" s="9"/>
      <c r="W52" s="9"/>
      <c r="X52" s="10"/>
      <c r="Y52" s="10"/>
      <c r="Z52" s="9"/>
      <c r="AA52" s="9"/>
      <c r="AB52" s="9"/>
      <c r="AC52" s="9"/>
      <c r="AD52" s="9"/>
      <c r="AE52" s="10"/>
      <c r="AF52" s="10"/>
      <c r="AG52" s="9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10"/>
      <c r="D53" s="10"/>
      <c r="E53" s="9"/>
      <c r="F53" s="9"/>
      <c r="G53" s="9"/>
      <c r="H53" s="9"/>
      <c r="I53" s="9"/>
      <c r="J53" s="10"/>
      <c r="K53" s="10"/>
      <c r="L53" s="9"/>
      <c r="M53" s="9"/>
      <c r="N53" s="9"/>
      <c r="O53" s="9"/>
      <c r="P53" s="9"/>
      <c r="Q53" s="10"/>
      <c r="R53" s="10"/>
      <c r="S53" s="9"/>
      <c r="T53" s="9"/>
      <c r="U53" s="9"/>
      <c r="V53" s="9"/>
      <c r="W53" s="9"/>
      <c r="X53" s="10"/>
      <c r="Y53" s="10"/>
      <c r="Z53" s="9"/>
      <c r="AA53" s="9"/>
      <c r="AB53" s="9"/>
      <c r="AC53" s="9"/>
      <c r="AD53" s="9"/>
      <c r="AE53" s="10"/>
      <c r="AF53" s="10"/>
      <c r="AG53" s="9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10"/>
      <c r="D54" s="10"/>
      <c r="E54" s="9"/>
      <c r="F54" s="9"/>
      <c r="G54" s="9"/>
      <c r="H54" s="9"/>
      <c r="I54" s="9"/>
      <c r="J54" s="10"/>
      <c r="K54" s="10"/>
      <c r="L54" s="9"/>
      <c r="M54" s="9"/>
      <c r="N54" s="9"/>
      <c r="O54" s="9"/>
      <c r="P54" s="9"/>
      <c r="Q54" s="10"/>
      <c r="R54" s="10"/>
      <c r="S54" s="9"/>
      <c r="T54" s="9"/>
      <c r="U54" s="9"/>
      <c r="V54" s="9"/>
      <c r="W54" s="9"/>
      <c r="X54" s="10"/>
      <c r="Y54" s="10"/>
      <c r="Z54" s="9"/>
      <c r="AA54" s="9"/>
      <c r="AB54" s="9"/>
      <c r="AC54" s="9"/>
      <c r="AD54" s="9"/>
      <c r="AE54" s="10"/>
      <c r="AF54" s="10"/>
      <c r="AG54" s="9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10"/>
      <c r="D55" s="10"/>
      <c r="E55" s="9"/>
      <c r="F55" s="9"/>
      <c r="G55" s="9"/>
      <c r="H55" s="9"/>
      <c r="I55" s="9"/>
      <c r="J55" s="10"/>
      <c r="K55" s="10"/>
      <c r="L55" s="9"/>
      <c r="M55" s="9"/>
      <c r="N55" s="9"/>
      <c r="O55" s="9"/>
      <c r="P55" s="9"/>
      <c r="Q55" s="10"/>
      <c r="R55" s="10"/>
      <c r="S55" s="9"/>
      <c r="T55" s="9"/>
      <c r="U55" s="9"/>
      <c r="V55" s="9"/>
      <c r="W55" s="9"/>
      <c r="X55" s="10"/>
      <c r="Y55" s="10"/>
      <c r="Z55" s="9"/>
      <c r="AA55" s="9"/>
      <c r="AB55" s="9"/>
      <c r="AC55" s="9"/>
      <c r="AD55" s="9"/>
      <c r="AE55" s="10"/>
      <c r="AF55" s="10"/>
      <c r="AG55" s="9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 t="s">
        <v>100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</sheetData>
  <mergeCells count="12">
    <mergeCell ref="C1:AG1"/>
    <mergeCell ref="C2:D2"/>
    <mergeCell ref="E2:K2"/>
    <mergeCell ref="L2:R2"/>
    <mergeCell ref="S2:Y2"/>
    <mergeCell ref="Z2:AF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70">
      <formula>NOT(ISERROR(SEARCH("H1", C6)))</formula>
    </cfRule>
    <cfRule type="expression" priority="3" aboveAverage="0" equalAverage="0" bottom="0" percent="0" rank="0" text="" dxfId="71">
      <formula>NOT(ISERROR(SEARCH("H2", C6)))</formula>
    </cfRule>
    <cfRule type="expression" priority="4" aboveAverage="0" equalAverage="0" bottom="0" percent="0" rank="0" text="" dxfId="72">
      <formula>NOT(ISERROR(SEARCH("H", C6)))</formula>
    </cfRule>
    <cfRule type="expression" priority="5" aboveAverage="0" equalAverage="0" bottom="0" percent="0" rank="0" text="" dxfId="73">
      <formula>NOT(ISERROR(SEARCH("Q", C6)))</formula>
    </cfRule>
    <cfRule type="expression" priority="6" aboveAverage="0" equalAverage="0" bottom="0" percent="0" rank="0" text="" dxfId="74">
      <formula>NOT(ISERROR(SEARCH("I", C6)))</formula>
    </cfRule>
    <cfRule type="expression" priority="7" aboveAverage="0" equalAverage="0" bottom="0" percent="0" rank="0" text="" dxfId="75">
      <formula>NOT(ISERROR(SEARCH("S", C6)))</formula>
    </cfRule>
    <cfRule type="expression" priority="8" aboveAverage="0" equalAverage="0" bottom="0" percent="0" rank="0" text="" dxfId="76">
      <formula>NOT(ISERROR(SEARCH("M", C6)))</formula>
    </cfRule>
    <cfRule type="expression" priority="9" aboveAverage="0" equalAverage="0" bottom="0" percent="0" rank="0" text="" dxfId="77">
      <formula>NOT(ISERROR(SEARCH("C", C6)))</formula>
    </cfRule>
    <cfRule type="expression" priority="10" aboveAverage="0" equalAverage="0" bottom="0" percent="0" rank="0" text="" dxfId="78">
      <formula>NOT(ISERROR(SEARCH("V", C6)))</formula>
    </cfRule>
    <cfRule type="expression" priority="11" aboveAverage="0" equalAverage="0" bottom="0" percent="0" rank="0" text="" dxfId="7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W20" activeCellId="0" sqref="W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3.75"/>
    <col collapsed="false" customWidth="true" hidden="false" outlineLevel="0" max="32" min="3" style="0" width="4"/>
    <col collapsed="false" customWidth="true" hidden="false" outlineLevel="0" max="34" min="34" style="0" width="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8" min="38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" hidden="false" customHeight="true" outlineLevel="0" collapsed="false">
      <c r="C2" s="1" t="s">
        <v>101</v>
      </c>
      <c r="D2" s="1"/>
      <c r="E2" s="1"/>
      <c r="F2" s="1"/>
      <c r="G2" s="1"/>
      <c r="H2" s="1"/>
      <c r="I2" s="1" t="s">
        <v>102</v>
      </c>
      <c r="J2" s="1"/>
      <c r="K2" s="1"/>
      <c r="L2" s="1"/>
      <c r="M2" s="1"/>
      <c r="N2" s="1"/>
      <c r="O2" s="1"/>
      <c r="P2" s="1" t="s">
        <v>103</v>
      </c>
      <c r="Q2" s="1"/>
      <c r="R2" s="1"/>
      <c r="S2" s="1"/>
      <c r="T2" s="1"/>
      <c r="U2" s="1"/>
      <c r="V2" s="1"/>
      <c r="W2" s="1" t="s">
        <v>104</v>
      </c>
      <c r="X2" s="1"/>
      <c r="Y2" s="1"/>
      <c r="Z2" s="1"/>
      <c r="AA2" s="1"/>
      <c r="AB2" s="1"/>
      <c r="AC2" s="1"/>
      <c r="AD2" s="1" t="s">
        <v>105</v>
      </c>
      <c r="AE2" s="1"/>
      <c r="AF2" s="1"/>
    </row>
    <row r="3" customFormat="false" ht="12" hidden="false" customHeight="true" outlineLevel="0" collapsed="false">
      <c r="B3" s="2"/>
      <c r="C3" s="3" t="s">
        <v>106</v>
      </c>
      <c r="D3" s="3" t="s">
        <v>106</v>
      </c>
      <c r="E3" s="3" t="s">
        <v>106</v>
      </c>
      <c r="F3" s="3" t="s">
        <v>106</v>
      </c>
      <c r="G3" s="3" t="s">
        <v>106</v>
      </c>
      <c r="H3" s="3" t="s">
        <v>106</v>
      </c>
      <c r="I3" s="3" t="s">
        <v>106</v>
      </c>
      <c r="J3" s="3" t="s">
        <v>106</v>
      </c>
      <c r="K3" s="3" t="s">
        <v>106</v>
      </c>
      <c r="L3" s="3" t="s">
        <v>106</v>
      </c>
      <c r="M3" s="3" t="s">
        <v>106</v>
      </c>
      <c r="N3" s="3" t="s">
        <v>106</v>
      </c>
      <c r="O3" s="3" t="s">
        <v>106</v>
      </c>
      <c r="P3" s="3" t="s">
        <v>106</v>
      </c>
      <c r="Q3" s="3" t="s">
        <v>106</v>
      </c>
      <c r="R3" s="3" t="s">
        <v>106</v>
      </c>
      <c r="S3" s="3" t="s">
        <v>106</v>
      </c>
      <c r="T3" s="3" t="s">
        <v>106</v>
      </c>
      <c r="U3" s="3" t="s">
        <v>106</v>
      </c>
      <c r="V3" s="3" t="s">
        <v>106</v>
      </c>
      <c r="W3" s="3" t="s">
        <v>106</v>
      </c>
      <c r="X3" s="3" t="s">
        <v>106</v>
      </c>
      <c r="Y3" s="3" t="s">
        <v>106</v>
      </c>
      <c r="Z3" s="3" t="s">
        <v>106</v>
      </c>
      <c r="AA3" s="3" t="s">
        <v>106</v>
      </c>
      <c r="AB3" s="3" t="s">
        <v>106</v>
      </c>
      <c r="AC3" s="3" t="s">
        <v>106</v>
      </c>
      <c r="AD3" s="3" t="s">
        <v>106</v>
      </c>
      <c r="AE3" s="3" t="s">
        <v>106</v>
      </c>
      <c r="AF3" s="3" t="s">
        <v>106</v>
      </c>
      <c r="AG3" s="4" t="s">
        <v>7</v>
      </c>
      <c r="AI3" s="4" t="s">
        <v>8</v>
      </c>
      <c r="AJ3" s="4" t="s">
        <v>9</v>
      </c>
      <c r="AK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4"/>
      <c r="AI4" s="4"/>
      <c r="AJ4" s="4"/>
      <c r="AK4" s="4"/>
    </row>
    <row r="5" customFormat="false" ht="12" hidden="false" customHeight="true" outlineLevel="0" collapsed="false">
      <c r="B5" s="2"/>
      <c r="C5" s="6" t="s">
        <v>16</v>
      </c>
      <c r="D5" s="6" t="s">
        <v>17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11</v>
      </c>
      <c r="T5" s="6" t="s">
        <v>12</v>
      </c>
      <c r="U5" s="6" t="s">
        <v>13</v>
      </c>
      <c r="V5" s="6" t="s">
        <v>14</v>
      </c>
      <c r="W5" s="6" t="s">
        <v>15</v>
      </c>
      <c r="X5" s="6" t="s">
        <v>16</v>
      </c>
      <c r="Y5" s="6" t="s">
        <v>17</v>
      </c>
      <c r="Z5" s="6" t="s">
        <v>11</v>
      </c>
      <c r="AA5" s="6" t="s">
        <v>12</v>
      </c>
      <c r="AB5" s="6" t="s">
        <v>13</v>
      </c>
      <c r="AC5" s="6" t="s">
        <v>14</v>
      </c>
      <c r="AD5" s="6" t="s">
        <v>15</v>
      </c>
      <c r="AE5" s="6" t="s">
        <v>16</v>
      </c>
      <c r="AF5" s="6" t="s">
        <v>17</v>
      </c>
      <c r="AG5" s="4"/>
      <c r="AI5" s="4"/>
      <c r="AJ5" s="4"/>
      <c r="AK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/>
      <c r="E6" s="9"/>
      <c r="F6" s="9"/>
      <c r="G6" s="10"/>
      <c r="H6" s="10"/>
      <c r="I6" s="9"/>
      <c r="J6" s="9"/>
      <c r="K6" s="9"/>
      <c r="L6" s="9"/>
      <c r="M6" s="9"/>
      <c r="N6" s="10"/>
      <c r="O6" s="10"/>
      <c r="P6" s="9"/>
      <c r="Q6" s="9"/>
      <c r="R6" s="9"/>
      <c r="S6" s="9"/>
      <c r="T6" s="9"/>
      <c r="U6" s="10"/>
      <c r="V6" s="10"/>
      <c r="W6" s="9" t="s">
        <v>20</v>
      </c>
      <c r="X6" s="9"/>
      <c r="Y6" s="9"/>
      <c r="Z6" s="9"/>
      <c r="AA6" s="9"/>
      <c r="AB6" s="10"/>
      <c r="AC6" s="10"/>
      <c r="AD6" s="9"/>
      <c r="AE6" s="9"/>
      <c r="AF6" s="9"/>
      <c r="AG6" s="11" t="n">
        <f aca="false">(COUNTIF(C6:AF6,"H")*1)+(COUNTIF(C6:AF6,"H1")*0.5)+(COUNTIF(C6:AF6,"H2")*0.5)+(COUNTIF(C6:AF6,"Q")*0.25)+(COUNTIF(C6:AF6,"I")*1)+(COUNTIF(C6:AF6,"S")*0)+(COUNTIF(C6:AF6,"M")*1)+(COUNTIF(C6:AF6,"C")*0)+(COUNTIF(C6:AF6,"V")*1)+(COUNTIF(C6:AF6,"A")*1)</f>
        <v>1</v>
      </c>
      <c r="AI6" s="11" t="s">
        <v>21</v>
      </c>
      <c r="AJ6" s="12" t="s">
        <v>20</v>
      </c>
      <c r="AK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9"/>
      <c r="F7" s="9"/>
      <c r="G7" s="10"/>
      <c r="H7" s="10"/>
      <c r="I7" s="9"/>
      <c r="J7" s="9"/>
      <c r="K7" s="9"/>
      <c r="L7" s="9"/>
      <c r="M7" s="9"/>
      <c r="N7" s="10"/>
      <c r="O7" s="10"/>
      <c r="P7" s="9"/>
      <c r="Q7" s="9"/>
      <c r="R7" s="9"/>
      <c r="S7" s="9"/>
      <c r="T7" s="9"/>
      <c r="U7" s="10"/>
      <c r="V7" s="10"/>
      <c r="W7" s="9" t="s">
        <v>20</v>
      </c>
      <c r="X7" s="9"/>
      <c r="Y7" s="9"/>
      <c r="Z7" s="9"/>
      <c r="AA7" s="9"/>
      <c r="AB7" s="10"/>
      <c r="AC7" s="10"/>
      <c r="AD7" s="9"/>
      <c r="AE7" s="9"/>
      <c r="AF7" s="9"/>
      <c r="AG7" s="11" t="n">
        <f aca="false">(COUNTIF(C7:AF7,"H")*1)+(COUNTIF(C7:AF7,"H1")*0.5)+(COUNTIF(C7:AF7,"H2")*0.5)+(COUNTIF(C7:AF7,"Q")*0.25)+(COUNTIF(C7:AF7,"I")*1)+(COUNTIF(C7:AF7,"S")*0)+(COUNTIF(C7:AF7,"M")*1)+(COUNTIF(C7:AF7,"C")*0)+(COUNTIF(C7:AF7,"V")*1)+(COUNTIF(C7:AF7,"A")*1)</f>
        <v>1</v>
      </c>
      <c r="AI7" s="11" t="s">
        <v>24</v>
      </c>
      <c r="AJ7" s="14" t="s">
        <v>25</v>
      </c>
      <c r="AK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/>
      <c r="D8" s="9"/>
      <c r="E8" s="9"/>
      <c r="F8" s="9"/>
      <c r="G8" s="10"/>
      <c r="H8" s="10"/>
      <c r="I8" s="9"/>
      <c r="J8" s="9"/>
      <c r="K8" s="9"/>
      <c r="L8" s="9"/>
      <c r="M8" s="9"/>
      <c r="N8" s="10"/>
      <c r="O8" s="10"/>
      <c r="P8" s="9"/>
      <c r="Q8" s="9"/>
      <c r="R8" s="9"/>
      <c r="S8" s="9"/>
      <c r="T8" s="9"/>
      <c r="U8" s="10"/>
      <c r="V8" s="10"/>
      <c r="W8" s="9" t="s">
        <v>20</v>
      </c>
      <c r="X8" s="9"/>
      <c r="Y8" s="9"/>
      <c r="Z8" s="9"/>
      <c r="AA8" s="9"/>
      <c r="AB8" s="10"/>
      <c r="AC8" s="10"/>
      <c r="AD8" s="9"/>
      <c r="AE8" s="9"/>
      <c r="AF8" s="9"/>
      <c r="AG8" s="11" t="n">
        <f aca="false">(COUNTIF(C8:AF8,"H")*1)+(COUNTIF(C8:AF8,"H1")*0.5)+(COUNTIF(C8:AF8,"H2")*0.5)+(COUNTIF(C8:AF8,"Q")*0.25)+(COUNTIF(C8:AF8,"I")*1)+(COUNTIF(C8:AF8,"S")*0)+(COUNTIF(C8:AF8,"M")*1)+(COUNTIF(C8:AF8,"C")*0)+(COUNTIF(C8:AF8,"V")*1)+(COUNTIF(C8:AF8,"A")*1)</f>
        <v>1</v>
      </c>
      <c r="AI8" s="11" t="s">
        <v>27</v>
      </c>
      <c r="AJ8" s="14" t="s">
        <v>28</v>
      </c>
      <c r="AK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/>
      <c r="E9" s="9"/>
      <c r="F9" s="9"/>
      <c r="G9" s="10"/>
      <c r="H9" s="10"/>
      <c r="I9" s="9"/>
      <c r="J9" s="9"/>
      <c r="K9" s="9"/>
      <c r="L9" s="9"/>
      <c r="M9" s="9"/>
      <c r="N9" s="10"/>
      <c r="O9" s="10"/>
      <c r="P9" s="9"/>
      <c r="Q9" s="9"/>
      <c r="R9" s="9"/>
      <c r="S9" s="9"/>
      <c r="T9" s="9"/>
      <c r="U9" s="10"/>
      <c r="V9" s="10"/>
      <c r="W9" s="9" t="s">
        <v>20</v>
      </c>
      <c r="X9" s="9"/>
      <c r="Y9" s="9"/>
      <c r="Z9" s="9"/>
      <c r="AA9" s="9"/>
      <c r="AB9" s="10"/>
      <c r="AC9" s="10"/>
      <c r="AD9" s="9"/>
      <c r="AE9" s="9"/>
      <c r="AF9" s="9"/>
      <c r="AG9" s="11" t="n">
        <f aca="false">(COUNTIF(C9:AF9,"H")*1)+(COUNTIF(C9:AF9,"H1")*0.5)+(COUNTIF(C9:AF9,"H2")*0.5)+(COUNTIF(C9:AF9,"Q")*0.25)+(COUNTIF(C9:AF9,"I")*1)+(COUNTIF(C9:AF9,"S")*0)+(COUNTIF(C9:AF9,"M")*1)+(COUNTIF(C9:AF9,"C")*0)+(COUNTIF(C9:AF9,"V")*1)+(COUNTIF(C9:AF9,"A")*1)</f>
        <v>1</v>
      </c>
      <c r="AI9" s="11" t="s">
        <v>31</v>
      </c>
      <c r="AJ9" s="15" t="s">
        <v>32</v>
      </c>
      <c r="AK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9"/>
      <c r="F10" s="9"/>
      <c r="G10" s="10"/>
      <c r="H10" s="10"/>
      <c r="I10" s="9"/>
      <c r="J10" s="9"/>
      <c r="K10" s="9"/>
      <c r="L10" s="9"/>
      <c r="M10" s="9"/>
      <c r="N10" s="10"/>
      <c r="O10" s="10"/>
      <c r="P10" s="9"/>
      <c r="Q10" s="9"/>
      <c r="R10" s="9"/>
      <c r="S10" s="9"/>
      <c r="T10" s="9"/>
      <c r="U10" s="10"/>
      <c r="V10" s="10"/>
      <c r="W10" s="9" t="s">
        <v>20</v>
      </c>
      <c r="X10" s="9"/>
      <c r="Y10" s="9"/>
      <c r="Z10" s="9"/>
      <c r="AA10" s="9"/>
      <c r="AB10" s="10"/>
      <c r="AC10" s="10"/>
      <c r="AD10" s="9"/>
      <c r="AE10" s="9"/>
      <c r="AF10" s="9"/>
      <c r="AG10" s="11" t="n">
        <f aca="false">(COUNTIF(C10:AF10,"H")*1)+(COUNTIF(C10:AF10,"H1")*0.5)+(COUNTIF(C10:AF10,"H2")*0.5)+(COUNTIF(C10:AF10,"Q")*0.25)+(COUNTIF(C10:AF10,"I")*1)+(COUNTIF(C10:AF10,"S")*0)+(COUNTIF(C10:AF10,"M")*1)+(COUNTIF(C10:AF10,"C")*0)+(COUNTIF(C10:AF10,"V")*1)+(COUNTIF(C10:AF10,"A")*1)</f>
        <v>1</v>
      </c>
      <c r="AI10" s="11" t="s">
        <v>34</v>
      </c>
      <c r="AJ10" s="17" t="s">
        <v>23</v>
      </c>
      <c r="AK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/>
      <c r="D11" s="9"/>
      <c r="E11" s="9"/>
      <c r="F11" s="9"/>
      <c r="G11" s="10"/>
      <c r="H11" s="10"/>
      <c r="I11" s="9"/>
      <c r="J11" s="9"/>
      <c r="K11" s="9"/>
      <c r="L11" s="9"/>
      <c r="M11" s="9"/>
      <c r="N11" s="10"/>
      <c r="O11" s="10"/>
      <c r="P11" s="9"/>
      <c r="Q11" s="9"/>
      <c r="R11" s="9"/>
      <c r="S11" s="9"/>
      <c r="T11" s="9"/>
      <c r="U11" s="10"/>
      <c r="V11" s="10"/>
      <c r="W11" s="9" t="s">
        <v>20</v>
      </c>
      <c r="X11" s="9"/>
      <c r="Y11" s="9"/>
      <c r="Z11" s="9"/>
      <c r="AA11" s="9"/>
      <c r="AB11" s="10"/>
      <c r="AC11" s="10"/>
      <c r="AD11" s="9"/>
      <c r="AE11" s="9"/>
      <c r="AF11" s="9"/>
      <c r="AG11" s="11" t="n">
        <f aca="false">(COUNTIF(C11:AF11,"H")*1)+(COUNTIF(C11:AF11,"H1")*0.5)+(COUNTIF(C11:AF11,"H2")*0.5)+(COUNTIF(C11:AF11,"Q")*0.25)+(COUNTIF(C11:AF11,"I")*1)+(COUNTIF(C11:AF11,"S")*0)+(COUNTIF(C11:AF11,"M")*1)+(COUNTIF(C11:AF11,"C")*0)+(COUNTIF(C11:AF11,"V")*1)+(COUNTIF(C11:AF11,"A")*1)</f>
        <v>1</v>
      </c>
      <c r="AI11" s="11" t="s">
        <v>36</v>
      </c>
      <c r="AJ11" s="18" t="s">
        <v>30</v>
      </c>
      <c r="AK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9"/>
      <c r="F12" s="9"/>
      <c r="G12" s="10"/>
      <c r="H12" s="10"/>
      <c r="I12" s="9"/>
      <c r="J12" s="9"/>
      <c r="K12" s="9"/>
      <c r="L12" s="9"/>
      <c r="M12" s="9"/>
      <c r="N12" s="10"/>
      <c r="O12" s="10"/>
      <c r="P12" s="9"/>
      <c r="Q12" s="9"/>
      <c r="R12" s="9"/>
      <c r="S12" s="9"/>
      <c r="T12" s="9"/>
      <c r="U12" s="10"/>
      <c r="V12" s="10"/>
      <c r="W12" s="9" t="s">
        <v>20</v>
      </c>
      <c r="X12" s="9"/>
      <c r="Y12" s="9"/>
      <c r="Z12" s="9"/>
      <c r="AA12" s="9"/>
      <c r="AB12" s="10"/>
      <c r="AC12" s="10"/>
      <c r="AD12" s="9"/>
      <c r="AE12" s="9"/>
      <c r="AF12" s="9"/>
      <c r="AG12" s="11" t="n">
        <f aca="false">(COUNTIF(C12:AF12,"H")*1)+(COUNTIF(C12:AF12,"H1")*0.5)+(COUNTIF(C12:AF12,"H2")*0.5)+(COUNTIF(C12:AF12,"Q")*0.25)+(COUNTIF(C12:AF12,"I")*1)+(COUNTIF(C12:AF12,"S")*0)+(COUNTIF(C12:AF12,"M")*1)+(COUNTIF(C12:AF12,"C")*0)+(COUNTIF(C12:AF12,"V")*1)+(COUNTIF(C12:AF12,"A")*1)</f>
        <v>1</v>
      </c>
      <c r="AI12" s="11" t="s">
        <v>38</v>
      </c>
      <c r="AJ12" s="19" t="s">
        <v>39</v>
      </c>
      <c r="AK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9"/>
      <c r="F13" s="9"/>
      <c r="G13" s="10"/>
      <c r="H13" s="10"/>
      <c r="I13" s="9"/>
      <c r="J13" s="9"/>
      <c r="K13" s="9"/>
      <c r="L13" s="9"/>
      <c r="M13" s="9"/>
      <c r="N13" s="10"/>
      <c r="O13" s="10"/>
      <c r="P13" s="9"/>
      <c r="Q13" s="9"/>
      <c r="R13" s="9"/>
      <c r="S13" s="9"/>
      <c r="T13" s="9"/>
      <c r="U13" s="10"/>
      <c r="V13" s="10"/>
      <c r="W13" s="9" t="s">
        <v>20</v>
      </c>
      <c r="X13" s="9"/>
      <c r="Y13" s="9"/>
      <c r="Z13" s="9"/>
      <c r="AA13" s="9"/>
      <c r="AB13" s="10"/>
      <c r="AC13" s="10"/>
      <c r="AD13" s="9"/>
      <c r="AE13" s="9"/>
      <c r="AF13" s="9"/>
      <c r="AG13" s="11" t="n">
        <f aca="false">(COUNTIF(C13:AF13,"H")*1)+(COUNTIF(C13:AF13,"H1")*0.5)+(COUNTIF(C13:AF13,"H2")*0.5)+(COUNTIF(C13:AF13,"Q")*0.25)+(COUNTIF(C13:AF13,"I")*1)+(COUNTIF(C13:AF13,"S")*0)+(COUNTIF(C13:AF13,"M")*1)+(COUNTIF(C13:AF13,"C")*0)+(COUNTIF(C13:AF13,"V")*1)+(COUNTIF(C13:AF13,"A")*1)</f>
        <v>1</v>
      </c>
      <c r="AI13" s="11" t="s">
        <v>41</v>
      </c>
      <c r="AJ13" s="20" t="s">
        <v>42</v>
      </c>
      <c r="AK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/>
      <c r="D14" s="9"/>
      <c r="E14" s="9"/>
      <c r="F14" s="9"/>
      <c r="G14" s="10"/>
      <c r="H14" s="10"/>
      <c r="I14" s="9"/>
      <c r="J14" s="9"/>
      <c r="K14" s="9"/>
      <c r="L14" s="9"/>
      <c r="M14" s="9"/>
      <c r="N14" s="10"/>
      <c r="O14" s="10"/>
      <c r="P14" s="9"/>
      <c r="Q14" s="9"/>
      <c r="R14" s="9"/>
      <c r="S14" s="9"/>
      <c r="T14" s="9"/>
      <c r="U14" s="10"/>
      <c r="V14" s="10"/>
      <c r="W14" s="9" t="s">
        <v>20</v>
      </c>
      <c r="X14" s="9"/>
      <c r="Y14" s="9"/>
      <c r="Z14" s="9"/>
      <c r="AA14" s="9"/>
      <c r="AB14" s="10"/>
      <c r="AC14" s="10"/>
      <c r="AD14" s="9"/>
      <c r="AE14" s="9"/>
      <c r="AF14" s="9"/>
      <c r="AG14" s="11" t="n">
        <f aca="false">(COUNTIF(C14:AF14,"H")*1)+(COUNTIF(C14:AF14,"H1")*0.5)+(COUNTIF(C14:AF14,"H2")*0.5)+(COUNTIF(C14:AF14,"Q")*0.25)+(COUNTIF(C14:AF14,"I")*1)+(COUNTIF(C14:AF14,"S")*0)+(COUNTIF(C14:AF14,"M")*1)+(COUNTIF(C14:AF14,"C")*0)+(COUNTIF(C14:AF14,"V")*1)+(COUNTIF(C14:AF14,"A")*1)</f>
        <v>1</v>
      </c>
      <c r="AI14" s="11" t="s">
        <v>44</v>
      </c>
      <c r="AJ14" s="21" t="s">
        <v>19</v>
      </c>
      <c r="AK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/>
      <c r="E15" s="9"/>
      <c r="F15" s="9"/>
      <c r="G15" s="10"/>
      <c r="H15" s="10"/>
      <c r="I15" s="9"/>
      <c r="J15" s="9"/>
      <c r="K15" s="9"/>
      <c r="L15" s="9"/>
      <c r="M15" s="9"/>
      <c r="N15" s="10"/>
      <c r="O15" s="10"/>
      <c r="P15" s="9"/>
      <c r="Q15" s="9"/>
      <c r="R15" s="9"/>
      <c r="S15" s="9"/>
      <c r="T15" s="9"/>
      <c r="U15" s="10"/>
      <c r="V15" s="10"/>
      <c r="W15" s="9" t="s">
        <v>20</v>
      </c>
      <c r="X15" s="9"/>
      <c r="Y15" s="9"/>
      <c r="Z15" s="9"/>
      <c r="AA15" s="9"/>
      <c r="AB15" s="10"/>
      <c r="AC15" s="10"/>
      <c r="AD15" s="9"/>
      <c r="AE15" s="9"/>
      <c r="AF15" s="9"/>
      <c r="AG15" s="11" t="n">
        <f aca="false">(COUNTIF(C15:AF15,"H")*1)+(COUNTIF(C15:AF15,"H1")*0.5)+(COUNTIF(C15:AF15,"H2")*0.5)+(COUNTIF(C15:AF15,"Q")*0.25)+(COUNTIF(C15:AF15,"I")*1)+(COUNTIF(C15:AF15,"S")*0)+(COUNTIF(C15:AF15,"M")*1)+(COUNTIF(C15:AF15,"C")*0)+(COUNTIF(C15:AF15,"V")*1)+(COUNTIF(C15:AF15,"A")*1)</f>
        <v>1</v>
      </c>
      <c r="AI15" s="11" t="s">
        <v>46</v>
      </c>
      <c r="AJ15" s="22" t="s">
        <v>47</v>
      </c>
      <c r="AK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9"/>
      <c r="F16" s="9"/>
      <c r="G16" s="10"/>
      <c r="H16" s="10"/>
      <c r="I16" s="9"/>
      <c r="J16" s="9"/>
      <c r="K16" s="9"/>
      <c r="L16" s="9"/>
      <c r="M16" s="9"/>
      <c r="N16" s="10"/>
      <c r="O16" s="10"/>
      <c r="P16" s="9"/>
      <c r="Q16" s="9"/>
      <c r="R16" s="9"/>
      <c r="S16" s="9"/>
      <c r="T16" s="9"/>
      <c r="U16" s="10"/>
      <c r="V16" s="10"/>
      <c r="W16" s="9" t="s">
        <v>20</v>
      </c>
      <c r="X16" s="9"/>
      <c r="Y16" s="9"/>
      <c r="Z16" s="9"/>
      <c r="AA16" s="9"/>
      <c r="AB16" s="10"/>
      <c r="AC16" s="10"/>
      <c r="AD16" s="9"/>
      <c r="AE16" s="9"/>
      <c r="AF16" s="9"/>
      <c r="AG16" s="11" t="n">
        <f aca="false">(COUNTIF(C16:AF16,"H")*1)+(COUNTIF(C16:AF16,"H1")*0.5)+(COUNTIF(C16:AF16,"H2")*0.5)+(COUNTIF(C16:AF16,"Q")*0.25)+(COUNTIF(C16:AF16,"I")*1)+(COUNTIF(C16:AF16,"S")*0)+(COUNTIF(C16:AF16,"M")*1)+(COUNTIF(C16:AF16,"C")*0)+(COUNTIF(C16:AF16,"V")*1)+(COUNTIF(C16:AF16,"A")*1)</f>
        <v>1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/>
      <c r="D17" s="9"/>
      <c r="E17" s="9"/>
      <c r="F17" s="9"/>
      <c r="G17" s="10"/>
      <c r="H17" s="10"/>
      <c r="I17" s="9"/>
      <c r="J17" s="9"/>
      <c r="K17" s="9"/>
      <c r="L17" s="9"/>
      <c r="M17" s="9"/>
      <c r="N17" s="10"/>
      <c r="O17" s="10"/>
      <c r="P17" s="9"/>
      <c r="Q17" s="9"/>
      <c r="R17" s="9"/>
      <c r="S17" s="9"/>
      <c r="T17" s="9"/>
      <c r="U17" s="10"/>
      <c r="V17" s="10"/>
      <c r="W17" s="9" t="s">
        <v>20</v>
      </c>
      <c r="X17" s="9"/>
      <c r="Y17" s="9"/>
      <c r="Z17" s="9"/>
      <c r="AA17" s="9"/>
      <c r="AB17" s="10"/>
      <c r="AC17" s="10"/>
      <c r="AD17" s="9"/>
      <c r="AE17" s="9"/>
      <c r="AF17" s="9"/>
      <c r="AG17" s="11" t="n">
        <f aca="false">(COUNTIF(C17:AF17,"H")*1)+(COUNTIF(C17:AF17,"H1")*0.5)+(COUNTIF(C17:AF17,"H2")*0.5)+(COUNTIF(C17:AF17,"Q")*0.25)+(COUNTIF(C17:AF17,"I")*1)+(COUNTIF(C17:AF17,"S")*0)+(COUNTIF(C17:AF17,"M")*1)+(COUNTIF(C17:AF17,"C")*0)+(COUNTIF(C17:AF17,"V")*1)+(COUNTIF(C17:AF17,"A")*1)</f>
        <v>1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9"/>
      <c r="F18" s="9"/>
      <c r="G18" s="10"/>
      <c r="H18" s="10"/>
      <c r="I18" s="9"/>
      <c r="J18" s="9"/>
      <c r="K18" s="9"/>
      <c r="L18" s="9"/>
      <c r="M18" s="9"/>
      <c r="N18" s="10"/>
      <c r="O18" s="10"/>
      <c r="P18" s="9"/>
      <c r="Q18" s="9"/>
      <c r="R18" s="9"/>
      <c r="S18" s="9"/>
      <c r="T18" s="9"/>
      <c r="U18" s="10"/>
      <c r="V18" s="10"/>
      <c r="W18" s="9" t="s">
        <v>20</v>
      </c>
      <c r="X18" s="9"/>
      <c r="Y18" s="9"/>
      <c r="Z18" s="9"/>
      <c r="AA18" s="9"/>
      <c r="AB18" s="10"/>
      <c r="AC18" s="10"/>
      <c r="AD18" s="9"/>
      <c r="AE18" s="9"/>
      <c r="AF18" s="9"/>
      <c r="AG18" s="11" t="n">
        <f aca="false">(COUNTIF(C18:AF18,"H")*1)+(COUNTIF(C18:AF18,"H1")*0.5)+(COUNTIF(C18:AF18,"H2")*0.5)+(COUNTIF(C18:AF18,"Q")*0.25)+(COUNTIF(C18:AF18,"I")*1)+(COUNTIF(C18:AF18,"S")*0)+(COUNTIF(C18:AF18,"M")*1)+(COUNTIF(C18:AF18,"C")*0)+(COUNTIF(C18:AF18,"V")*1)+(COUNTIF(C18:AF18,"A")*1)</f>
        <v>1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9"/>
      <c r="F19" s="9"/>
      <c r="G19" s="10"/>
      <c r="H19" s="10"/>
      <c r="I19" s="9"/>
      <c r="J19" s="9"/>
      <c r="K19" s="9"/>
      <c r="L19" s="9"/>
      <c r="M19" s="9"/>
      <c r="N19" s="10"/>
      <c r="O19" s="10"/>
      <c r="P19" s="9"/>
      <c r="Q19" s="9"/>
      <c r="R19" s="9"/>
      <c r="S19" s="9"/>
      <c r="T19" s="9"/>
      <c r="U19" s="10"/>
      <c r="V19" s="10"/>
      <c r="W19" s="9" t="s">
        <v>20</v>
      </c>
      <c r="X19" s="9"/>
      <c r="Y19" s="9"/>
      <c r="Z19" s="9"/>
      <c r="AA19" s="9"/>
      <c r="AB19" s="10"/>
      <c r="AC19" s="10"/>
      <c r="AD19" s="9"/>
      <c r="AE19" s="9"/>
      <c r="AF19" s="9"/>
      <c r="AG19" s="11" t="n">
        <f aca="false">(COUNTIF(C19:AF19,"H")*1)+(COUNTIF(C19:AF19,"H1")*0.5)+(COUNTIF(C19:AF19,"H2")*0.5)+(COUNTIF(C19:AF19,"Q")*0.25)+(COUNTIF(C19:AF19,"I")*1)+(COUNTIF(C19:AF19,"S")*0)+(COUNTIF(C19:AF19,"M")*1)+(COUNTIF(C19:AF19,"C")*0)+(COUNTIF(C19:AF19,"V")*1)+(COUNTIF(C19:AF19,"A")*1)</f>
        <v>1</v>
      </c>
    </row>
    <row r="20" customFormat="false" ht="19.5" hidden="false" customHeight="true" outlineLevel="0" collapsed="false">
      <c r="B20" s="8" t="s">
        <v>79</v>
      </c>
      <c r="C20" s="9"/>
      <c r="D20" s="9"/>
      <c r="E20" s="9"/>
      <c r="F20" s="9"/>
      <c r="G20" s="10"/>
      <c r="H20" s="10"/>
      <c r="I20" s="9"/>
      <c r="J20" s="9"/>
      <c r="K20" s="9"/>
      <c r="L20" s="9"/>
      <c r="M20" s="9"/>
      <c r="N20" s="10"/>
      <c r="O20" s="10"/>
      <c r="P20" s="9"/>
      <c r="Q20" s="9"/>
      <c r="R20" s="9"/>
      <c r="S20" s="9"/>
      <c r="T20" s="9"/>
      <c r="U20" s="10"/>
      <c r="V20" s="10"/>
      <c r="W20" s="9" t="s">
        <v>20</v>
      </c>
      <c r="X20" s="9"/>
      <c r="Y20" s="9"/>
      <c r="Z20" s="9"/>
      <c r="AA20" s="9"/>
      <c r="AB20" s="10"/>
      <c r="AC20" s="10"/>
      <c r="AD20" s="9"/>
      <c r="AE20" s="9"/>
      <c r="AF20" s="9"/>
      <c r="AG20" s="11" t="n">
        <f aca="false">(COUNTIF(C20:AF20,"H")*1)+(COUNTIF(C20:AF20,"H1")*0.5)+(COUNTIF(C20:AF20,"H2")*0.5)+(COUNTIF(C20:AF20,"Q")*0.25)+(COUNTIF(C20:AF20,"I")*1)+(COUNTIF(C20:AF20,"S")*0)+(COUNTIF(C20:AF20,"M")*1)+(COUNTIF(C20:AF20,"C")*0)+(COUNTIF(C20:AF20,"V")*1)+(COUNTIF(C20:AF20,"A")*1)</f>
        <v>1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9"/>
      <c r="F21" s="9"/>
      <c r="G21" s="10"/>
      <c r="H21" s="10"/>
      <c r="I21" s="9"/>
      <c r="J21" s="9"/>
      <c r="K21" s="9"/>
      <c r="L21" s="9"/>
      <c r="M21" s="9"/>
      <c r="N21" s="10"/>
      <c r="O21" s="10"/>
      <c r="P21" s="9"/>
      <c r="Q21" s="9"/>
      <c r="R21" s="9"/>
      <c r="S21" s="9"/>
      <c r="T21" s="9"/>
      <c r="U21" s="10"/>
      <c r="V21" s="10"/>
      <c r="W21" s="9"/>
      <c r="X21" s="9"/>
      <c r="Y21" s="9"/>
      <c r="Z21" s="9"/>
      <c r="AA21" s="9"/>
      <c r="AB21" s="10"/>
      <c r="AC21" s="10"/>
      <c r="AD21" s="9"/>
      <c r="AE21" s="9"/>
      <c r="AF21" s="9"/>
      <c r="AG21" s="11" t="n">
        <f aca="false">(COUNTIF(C21:AF21,"H")*1)+(COUNTIF(C21:AF21,"H1")*0.5)+(COUNTIF(C21:AF21,"H2")*0.5)+(COUNTIF(C21:AF21,"Q")*0.25)+(COUNTIF(C21:AF21,"I")*1)+(COUNTIF(C21:AF21,"S")*0)+(COUNTIF(C21:AF21,"M")*1)+(COUNTIF(C21:AF21,"C")*0)+(COUNTIF(C21:AF21,"V")*1)+(COUNTIF(C21:AF21,"A")*1)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9"/>
      <c r="F22" s="9"/>
      <c r="G22" s="10"/>
      <c r="H22" s="10"/>
      <c r="I22" s="9"/>
      <c r="J22" s="9"/>
      <c r="K22" s="9"/>
      <c r="L22" s="9"/>
      <c r="M22" s="9"/>
      <c r="N22" s="10"/>
      <c r="O22" s="10"/>
      <c r="P22" s="9"/>
      <c r="Q22" s="9"/>
      <c r="R22" s="9"/>
      <c r="S22" s="9"/>
      <c r="T22" s="9"/>
      <c r="U22" s="10"/>
      <c r="V22" s="10"/>
      <c r="W22" s="9"/>
      <c r="X22" s="9"/>
      <c r="Y22" s="9"/>
      <c r="Z22" s="9"/>
      <c r="AA22" s="9"/>
      <c r="AB22" s="10"/>
      <c r="AC22" s="10"/>
      <c r="AD22" s="9"/>
      <c r="AE22" s="9"/>
      <c r="AF22" s="9"/>
      <c r="AG22" s="11" t="n">
        <f aca="false">(COUNTIF(C22:AF22,"H")*1)+(COUNTIF(C22:AF22,"H1")*0.5)+(COUNTIF(C22:AF22,"H2")*0.5)+(COUNTIF(C22:AF22,"Q")*0.25)+(COUNTIF(C22:AF22,"I")*1)+(COUNTIF(C22:AF22,"S")*0)+(COUNTIF(C22:AF22,"M")*1)+(COUNTIF(C22:AF22,"C")*0)+(COUNTIF(C22:AF22,"V")*1)+(COUNTIF(C22:AF22,"A")*1)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9"/>
      <c r="F23" s="9"/>
      <c r="G23" s="10"/>
      <c r="H23" s="10"/>
      <c r="I23" s="9"/>
      <c r="J23" s="9"/>
      <c r="K23" s="9"/>
      <c r="L23" s="9"/>
      <c r="M23" s="9"/>
      <c r="N23" s="10"/>
      <c r="O23" s="10"/>
      <c r="P23" s="9"/>
      <c r="Q23" s="9"/>
      <c r="R23" s="9"/>
      <c r="S23" s="9"/>
      <c r="T23" s="9"/>
      <c r="U23" s="10"/>
      <c r="V23" s="10"/>
      <c r="W23" s="9"/>
      <c r="X23" s="9"/>
      <c r="Y23" s="9"/>
      <c r="Z23" s="9"/>
      <c r="AA23" s="9"/>
      <c r="AB23" s="10"/>
      <c r="AC23" s="10"/>
      <c r="AD23" s="9"/>
      <c r="AE23" s="9"/>
      <c r="AF23" s="9"/>
      <c r="AG23" s="11" t="n">
        <f aca="false">(COUNTIF(C23:AF23,"H")*1)+(COUNTIF(C23:AF23,"H1")*0.5)+(COUNTIF(C23:AF23,"H2")*0.5)+(COUNTIF(C23:AF23,"Q")*0.25)+(COUNTIF(C23:AF23,"I")*1)+(COUNTIF(C23:AF23,"S")*0)+(COUNTIF(C23:AF23,"M")*1)+(COUNTIF(C23:AF23,"C")*0)+(COUNTIF(C23:AF23,"V")*1)+(COUNTIF(C23:AF23,"A")*1)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9"/>
      <c r="F24" s="9"/>
      <c r="G24" s="10"/>
      <c r="H24" s="10"/>
      <c r="I24" s="9"/>
      <c r="J24" s="9"/>
      <c r="K24" s="9"/>
      <c r="L24" s="9"/>
      <c r="M24" s="9"/>
      <c r="N24" s="10"/>
      <c r="O24" s="10"/>
      <c r="P24" s="9"/>
      <c r="Q24" s="9"/>
      <c r="R24" s="9"/>
      <c r="S24" s="9"/>
      <c r="T24" s="9"/>
      <c r="U24" s="10"/>
      <c r="V24" s="10"/>
      <c r="W24" s="9"/>
      <c r="X24" s="9"/>
      <c r="Y24" s="9"/>
      <c r="Z24" s="9"/>
      <c r="AA24" s="9"/>
      <c r="AB24" s="10"/>
      <c r="AC24" s="10"/>
      <c r="AD24" s="9"/>
      <c r="AE24" s="9"/>
      <c r="AF24" s="9"/>
      <c r="AG24" s="11" t="n">
        <f aca="false">(COUNTIF(C24:AF24,"H")*1)+(COUNTIF(C24:AF24,"H1")*0.5)+(COUNTIF(C24:AF24,"H2")*0.5)+(COUNTIF(C24:AF24,"Q")*0.25)+(COUNTIF(C24:AF24,"I")*1)+(COUNTIF(C24:AF24,"S")*0)+(COUNTIF(C24:AF24,"M")*1)+(COUNTIF(C24:AF24,"C")*0)+(COUNTIF(C24:AF24,"V")*1)+(COUNTIF(C24:AF24,"A")*1)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9"/>
      <c r="F25" s="9"/>
      <c r="G25" s="10"/>
      <c r="H25" s="10"/>
      <c r="I25" s="9"/>
      <c r="J25" s="9"/>
      <c r="K25" s="9"/>
      <c r="L25" s="9"/>
      <c r="M25" s="9"/>
      <c r="N25" s="10"/>
      <c r="O25" s="10"/>
      <c r="P25" s="9"/>
      <c r="Q25" s="9"/>
      <c r="R25" s="9"/>
      <c r="S25" s="9"/>
      <c r="T25" s="9"/>
      <c r="U25" s="10"/>
      <c r="V25" s="10"/>
      <c r="W25" s="9"/>
      <c r="X25" s="9"/>
      <c r="Y25" s="9"/>
      <c r="Z25" s="9"/>
      <c r="AA25" s="9"/>
      <c r="AB25" s="10"/>
      <c r="AC25" s="10"/>
      <c r="AD25" s="9"/>
      <c r="AE25" s="9"/>
      <c r="AF25" s="9"/>
      <c r="AG25" s="11" t="n">
        <f aca="false">(COUNTIF(C25:AF25,"H")*1)+(COUNTIF(C25:AF25,"H1")*0.5)+(COUNTIF(C25:AF25,"H2")*0.5)+(COUNTIF(C25:AF25,"Q")*0.25)+(COUNTIF(C25:AF25,"I")*1)+(COUNTIF(C25:AF25,"S")*0)+(COUNTIF(C25:AF25,"M")*1)+(COUNTIF(C25:AF25,"C")*0)+(COUNTIF(C25:AF25,"V")*1)+(COUNTIF(C25:AF25,"A")*1)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9"/>
      <c r="F26" s="9"/>
      <c r="G26" s="10"/>
      <c r="H26" s="10"/>
      <c r="I26" s="9"/>
      <c r="J26" s="9"/>
      <c r="K26" s="9"/>
      <c r="L26" s="9"/>
      <c r="M26" s="9"/>
      <c r="N26" s="10"/>
      <c r="O26" s="10"/>
      <c r="P26" s="9"/>
      <c r="Q26" s="9"/>
      <c r="R26" s="9"/>
      <c r="S26" s="9"/>
      <c r="T26" s="9"/>
      <c r="U26" s="10"/>
      <c r="V26" s="10"/>
      <c r="W26" s="9"/>
      <c r="X26" s="9"/>
      <c r="Y26" s="9"/>
      <c r="Z26" s="9"/>
      <c r="AA26" s="9"/>
      <c r="AB26" s="10"/>
      <c r="AC26" s="10"/>
      <c r="AD26" s="9"/>
      <c r="AE26" s="9"/>
      <c r="AF26" s="9"/>
      <c r="AG26" s="11" t="n">
        <f aca="false">(COUNTIF(C26:AF26,"H")*1)+(COUNTIF(C26:AF26,"H1")*0.5)+(COUNTIF(C26:AF26,"H2")*0.5)+(COUNTIF(C26:AF26,"Q")*0.25)+(COUNTIF(C26:AF26,"I")*1)+(COUNTIF(C26:AF26,"S")*0)+(COUNTIF(C26:AF26,"M")*1)+(COUNTIF(C26:AF26,"C")*0)+(COUNTIF(C26:AF26,"V")*1)+(COUNTIF(C26:AF26,"A")*1)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9"/>
      <c r="F27" s="9"/>
      <c r="G27" s="10"/>
      <c r="H27" s="10"/>
      <c r="I27" s="9"/>
      <c r="J27" s="9"/>
      <c r="K27" s="9"/>
      <c r="L27" s="9"/>
      <c r="M27" s="9"/>
      <c r="N27" s="10"/>
      <c r="O27" s="10"/>
      <c r="P27" s="9"/>
      <c r="Q27" s="9"/>
      <c r="R27" s="9"/>
      <c r="S27" s="9"/>
      <c r="T27" s="9"/>
      <c r="U27" s="10"/>
      <c r="V27" s="10"/>
      <c r="W27" s="9"/>
      <c r="X27" s="9"/>
      <c r="Y27" s="9"/>
      <c r="Z27" s="9"/>
      <c r="AA27" s="9"/>
      <c r="AB27" s="10"/>
      <c r="AC27" s="10"/>
      <c r="AD27" s="9"/>
      <c r="AE27" s="9"/>
      <c r="AF27" s="9"/>
      <c r="AG27" s="11" t="n">
        <f aca="false">(COUNTIF(C27:AF27,"H")*1)+(COUNTIF(C27:AF27,"H1")*0.5)+(COUNTIF(C27:AF27,"H2")*0.5)+(COUNTIF(C27:AF27,"Q")*0.25)+(COUNTIF(C27:AF27,"I")*1)+(COUNTIF(C27:AF27,"S")*0)+(COUNTIF(C27:AF27,"M")*1)+(COUNTIF(C27:AF27,"C")*0)+(COUNTIF(C27:AF27,"V")*1)+(COUNTIF(C27:AF27,"A")*1)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9"/>
      <c r="F28" s="9"/>
      <c r="G28" s="10"/>
      <c r="H28" s="10"/>
      <c r="I28" s="9"/>
      <c r="J28" s="9"/>
      <c r="K28" s="9"/>
      <c r="L28" s="9"/>
      <c r="M28" s="9"/>
      <c r="N28" s="10"/>
      <c r="O28" s="10"/>
      <c r="P28" s="9"/>
      <c r="Q28" s="9"/>
      <c r="R28" s="9"/>
      <c r="S28" s="9"/>
      <c r="T28" s="9"/>
      <c r="U28" s="10"/>
      <c r="V28" s="10"/>
      <c r="W28" s="9"/>
      <c r="X28" s="9"/>
      <c r="Y28" s="9"/>
      <c r="Z28" s="9"/>
      <c r="AA28" s="9"/>
      <c r="AB28" s="10"/>
      <c r="AC28" s="10"/>
      <c r="AD28" s="9"/>
      <c r="AE28" s="9"/>
      <c r="AF28" s="9"/>
      <c r="AG28" s="11" t="n">
        <f aca="false">(COUNTIF(C28:AF28,"H")*1)+(COUNTIF(C28:AF28,"H1")*0.5)+(COUNTIF(C28:AF28,"H2")*0.5)+(COUNTIF(C28:AF28,"Q")*0.25)+(COUNTIF(C28:AF28,"I")*1)+(COUNTIF(C28:AF28,"S")*0)+(COUNTIF(C28:AF28,"M")*1)+(COUNTIF(C28:AF28,"C")*0)+(COUNTIF(C28:AF28,"V")*1)+(COUNTIF(C28:AF28,"A")*1)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9"/>
      <c r="F29" s="9"/>
      <c r="G29" s="10"/>
      <c r="H29" s="10"/>
      <c r="I29" s="9"/>
      <c r="J29" s="9"/>
      <c r="K29" s="9"/>
      <c r="L29" s="9"/>
      <c r="M29" s="9"/>
      <c r="N29" s="10"/>
      <c r="O29" s="10"/>
      <c r="P29" s="9"/>
      <c r="Q29" s="9"/>
      <c r="R29" s="9"/>
      <c r="S29" s="9"/>
      <c r="T29" s="9"/>
      <c r="U29" s="10"/>
      <c r="V29" s="10"/>
      <c r="W29" s="9"/>
      <c r="X29" s="9"/>
      <c r="Y29" s="9"/>
      <c r="Z29" s="9"/>
      <c r="AA29" s="9"/>
      <c r="AB29" s="10"/>
      <c r="AC29" s="10"/>
      <c r="AD29" s="9"/>
      <c r="AE29" s="9"/>
      <c r="AF29" s="9"/>
      <c r="AG29" s="11" t="n">
        <f aca="false">(COUNTIF(C29:AF29,"H")*1)+(COUNTIF(C29:AF29,"H1")*0.5)+(COUNTIF(C29:AF29,"H2")*0.5)+(COUNTIF(C29:AF29,"Q")*0.25)+(COUNTIF(C29:AF29,"I")*1)+(COUNTIF(C29:AF29,"S")*0)+(COUNTIF(C29:AF29,"M")*1)+(COUNTIF(C29:AF29,"C")*0)+(COUNTIF(C29:AF29,"V")*1)+(COUNTIF(C29:AF29,"A")*1)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9"/>
      <c r="F30" s="9"/>
      <c r="G30" s="10"/>
      <c r="H30" s="10"/>
      <c r="I30" s="9"/>
      <c r="J30" s="9"/>
      <c r="K30" s="9"/>
      <c r="L30" s="9"/>
      <c r="M30" s="9"/>
      <c r="N30" s="10"/>
      <c r="O30" s="10"/>
      <c r="P30" s="9"/>
      <c r="Q30" s="9"/>
      <c r="R30" s="9"/>
      <c r="S30" s="9"/>
      <c r="T30" s="9"/>
      <c r="U30" s="10"/>
      <c r="V30" s="10"/>
      <c r="W30" s="9"/>
      <c r="X30" s="9"/>
      <c r="Y30" s="9"/>
      <c r="Z30" s="9"/>
      <c r="AA30" s="9"/>
      <c r="AB30" s="10"/>
      <c r="AC30" s="10"/>
      <c r="AD30" s="9"/>
      <c r="AE30" s="9"/>
      <c r="AF30" s="9"/>
      <c r="AG30" s="11" t="n">
        <f aca="false">(COUNTIF(C30:AF30,"H")*1)+(COUNTIF(C30:AF30,"H1")*0.5)+(COUNTIF(C30:AF30,"H2")*0.5)+(COUNTIF(C30:AF30,"Q")*0.25)+(COUNTIF(C30:AF30,"I")*1)+(COUNTIF(C30:AF30,"S")*0)+(COUNTIF(C30:AF30,"M")*1)+(COUNTIF(C30:AF30,"C")*0)+(COUNTIF(C30:AF30,"V")*1)+(COUNTIF(C30:AF30,"A")*1)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9"/>
      <c r="F31" s="9"/>
      <c r="G31" s="10"/>
      <c r="H31" s="10"/>
      <c r="I31" s="9"/>
      <c r="J31" s="9"/>
      <c r="K31" s="9"/>
      <c r="L31" s="9"/>
      <c r="M31" s="9"/>
      <c r="N31" s="10"/>
      <c r="O31" s="10"/>
      <c r="P31" s="9"/>
      <c r="Q31" s="9"/>
      <c r="R31" s="9"/>
      <c r="S31" s="9"/>
      <c r="T31" s="9"/>
      <c r="U31" s="10"/>
      <c r="V31" s="10"/>
      <c r="W31" s="9"/>
      <c r="X31" s="9"/>
      <c r="Y31" s="9"/>
      <c r="Z31" s="9"/>
      <c r="AA31" s="9"/>
      <c r="AB31" s="10"/>
      <c r="AC31" s="10"/>
      <c r="AD31" s="9"/>
      <c r="AE31" s="9"/>
      <c r="AF31" s="9"/>
      <c r="AG31" s="11" t="n">
        <f aca="false">(COUNTIF(C31:AF31,"H")*1)+(COUNTIF(C31:AF31,"H1")*0.5)+(COUNTIF(C31:AF31,"H2")*0.5)+(COUNTIF(C31:AF31,"Q")*0.25)+(COUNTIF(C31:AF31,"I")*1)+(COUNTIF(C31:AF31,"S")*0)+(COUNTIF(C31:AF31,"M")*1)+(COUNTIF(C31:AF31,"C")*0)+(COUNTIF(C31:AF31,"V")*1)+(COUNTIF(C31:AF31,"A")*1)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9"/>
      <c r="F32" s="9"/>
      <c r="G32" s="10"/>
      <c r="H32" s="10"/>
      <c r="I32" s="9"/>
      <c r="J32" s="9"/>
      <c r="K32" s="9"/>
      <c r="L32" s="9"/>
      <c r="M32" s="9"/>
      <c r="N32" s="10"/>
      <c r="O32" s="10"/>
      <c r="P32" s="9"/>
      <c r="Q32" s="9"/>
      <c r="R32" s="9"/>
      <c r="S32" s="9"/>
      <c r="T32" s="9"/>
      <c r="U32" s="10"/>
      <c r="V32" s="10"/>
      <c r="W32" s="9"/>
      <c r="X32" s="9"/>
      <c r="Y32" s="9"/>
      <c r="Z32" s="9"/>
      <c r="AA32" s="9"/>
      <c r="AB32" s="10"/>
      <c r="AC32" s="10"/>
      <c r="AD32" s="9"/>
      <c r="AE32" s="9"/>
      <c r="AF32" s="9"/>
      <c r="AG32" s="11" t="n">
        <f aca="false">(COUNTIF(C32:AF32,"H")*1)+(COUNTIF(C32:AF32,"H1")*0.5)+(COUNTIF(C32:AF32,"H2")*0.5)+(COUNTIF(C32:AF32,"Q")*0.25)+(COUNTIF(C32:AF32,"I")*1)+(COUNTIF(C32:AF32,"S")*0)+(COUNTIF(C32:AF32,"M")*1)+(COUNTIF(C32:AF32,"C")*0)+(COUNTIF(C32:AF32,"V")*1)+(COUNTIF(C32:AF32,"A")*1)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9"/>
      <c r="F33" s="9"/>
      <c r="G33" s="10"/>
      <c r="H33" s="10"/>
      <c r="I33" s="9"/>
      <c r="J33" s="9"/>
      <c r="K33" s="9"/>
      <c r="L33" s="9"/>
      <c r="M33" s="9"/>
      <c r="N33" s="10"/>
      <c r="O33" s="10"/>
      <c r="P33" s="9"/>
      <c r="Q33" s="9"/>
      <c r="R33" s="9"/>
      <c r="S33" s="9"/>
      <c r="T33" s="9"/>
      <c r="U33" s="10"/>
      <c r="V33" s="10"/>
      <c r="W33" s="9"/>
      <c r="X33" s="9"/>
      <c r="Y33" s="9"/>
      <c r="Z33" s="9"/>
      <c r="AA33" s="9"/>
      <c r="AB33" s="10"/>
      <c r="AC33" s="10"/>
      <c r="AD33" s="9"/>
      <c r="AE33" s="9"/>
      <c r="AF33" s="9"/>
      <c r="AG33" s="11" t="n">
        <f aca="false">(COUNTIF(C33:AF33,"H")*1)+(COUNTIF(C33:AF33,"H1")*0.5)+(COUNTIF(C33:AF33,"H2")*0.5)+(COUNTIF(C33:AF33,"Q")*0.25)+(COUNTIF(C33:AF33,"I")*1)+(COUNTIF(C33:AF33,"S")*0)+(COUNTIF(C33:AF33,"M")*1)+(COUNTIF(C33:AF33,"C")*0)+(COUNTIF(C33:AF33,"V")*1)+(COUNTIF(C33:AF33,"A")*1)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9"/>
      <c r="F34" s="9"/>
      <c r="G34" s="10"/>
      <c r="H34" s="10"/>
      <c r="I34" s="9"/>
      <c r="J34" s="9"/>
      <c r="K34" s="9"/>
      <c r="L34" s="9"/>
      <c r="M34" s="9"/>
      <c r="N34" s="10"/>
      <c r="O34" s="10"/>
      <c r="P34" s="9"/>
      <c r="Q34" s="9"/>
      <c r="R34" s="9"/>
      <c r="S34" s="9"/>
      <c r="T34" s="9"/>
      <c r="U34" s="10"/>
      <c r="V34" s="10"/>
      <c r="W34" s="9"/>
      <c r="X34" s="9"/>
      <c r="Y34" s="9"/>
      <c r="Z34" s="9"/>
      <c r="AA34" s="9"/>
      <c r="AB34" s="10"/>
      <c r="AC34" s="10"/>
      <c r="AD34" s="9"/>
      <c r="AE34" s="9"/>
      <c r="AF34" s="9"/>
      <c r="AG34" s="11" t="n">
        <f aca="false">(COUNTIF(C34:AF34,"H")*1)+(COUNTIF(C34:AF34,"H1")*0.5)+(COUNTIF(C34:AF34,"H2")*0.5)+(COUNTIF(C34:AF34,"Q")*0.25)+(COUNTIF(C34:AF34,"I")*1)+(COUNTIF(C34:AF34,"S")*0)+(COUNTIF(C34:AF34,"M")*1)+(COUNTIF(C34:AF34,"C")*0)+(COUNTIF(C34:AF34,"V")*1)+(COUNTIF(C34:AF34,"A")*1)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9"/>
      <c r="F35" s="9"/>
      <c r="G35" s="10"/>
      <c r="H35" s="10"/>
      <c r="I35" s="9"/>
      <c r="J35" s="9"/>
      <c r="K35" s="9"/>
      <c r="L35" s="9"/>
      <c r="M35" s="9"/>
      <c r="N35" s="10"/>
      <c r="O35" s="10"/>
      <c r="P35" s="9"/>
      <c r="Q35" s="9"/>
      <c r="R35" s="9"/>
      <c r="S35" s="9"/>
      <c r="T35" s="9"/>
      <c r="U35" s="10"/>
      <c r="V35" s="10"/>
      <c r="W35" s="9"/>
      <c r="X35" s="9"/>
      <c r="Y35" s="9"/>
      <c r="Z35" s="9"/>
      <c r="AA35" s="9"/>
      <c r="AB35" s="10"/>
      <c r="AC35" s="10"/>
      <c r="AD35" s="9"/>
      <c r="AE35" s="9"/>
      <c r="AF35" s="9"/>
      <c r="AG35" s="11" t="n">
        <f aca="false">(COUNTIF(C35:AF35,"H")*1)+(COUNTIF(C35:AF35,"H1")*0.5)+(COUNTIF(C35:AF35,"H2")*0.5)+(COUNTIF(C35:AF35,"Q")*0.25)+(COUNTIF(C35:AF35,"I")*1)+(COUNTIF(C35:AF35,"S")*0)+(COUNTIF(C35:AF35,"M")*1)+(COUNTIF(C35:AF35,"C")*0)+(COUNTIF(C35:AF35,"V")*1)+(COUNTIF(C35:AF35,"A")*1)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9"/>
      <c r="F36" s="9"/>
      <c r="G36" s="10"/>
      <c r="H36" s="10"/>
      <c r="I36" s="9"/>
      <c r="J36" s="9"/>
      <c r="K36" s="9"/>
      <c r="L36" s="9"/>
      <c r="M36" s="9"/>
      <c r="N36" s="10"/>
      <c r="O36" s="10"/>
      <c r="P36" s="9"/>
      <c r="Q36" s="9"/>
      <c r="R36" s="9"/>
      <c r="S36" s="9"/>
      <c r="T36" s="9"/>
      <c r="U36" s="10"/>
      <c r="V36" s="10"/>
      <c r="W36" s="9"/>
      <c r="X36" s="9"/>
      <c r="Y36" s="9"/>
      <c r="Z36" s="9"/>
      <c r="AA36" s="9"/>
      <c r="AB36" s="10"/>
      <c r="AC36" s="10"/>
      <c r="AD36" s="9"/>
      <c r="AE36" s="9"/>
      <c r="AF36" s="9"/>
      <c r="AG36" s="11" t="n">
        <f aca="false">(COUNTIF(C36:AF36,"H")*1)+(COUNTIF(C36:AF36,"H1")*0.5)+(COUNTIF(C36:AF36,"H2")*0.5)+(COUNTIF(C36:AF36,"Q")*0.25)+(COUNTIF(C36:AF36,"I")*1)+(COUNTIF(C36:AF36,"S")*0)+(COUNTIF(C36:AF36,"M")*1)+(COUNTIF(C36:AF36,"C")*0)+(COUNTIF(C36:AF36,"V")*1)+(COUNTIF(C36:AF36,"A")*1)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9"/>
      <c r="F37" s="9"/>
      <c r="G37" s="10"/>
      <c r="H37" s="10"/>
      <c r="I37" s="9"/>
      <c r="J37" s="9"/>
      <c r="K37" s="9"/>
      <c r="L37" s="9"/>
      <c r="M37" s="9"/>
      <c r="N37" s="10"/>
      <c r="O37" s="10"/>
      <c r="P37" s="9"/>
      <c r="Q37" s="9"/>
      <c r="R37" s="9"/>
      <c r="S37" s="9"/>
      <c r="T37" s="9"/>
      <c r="U37" s="10"/>
      <c r="V37" s="10"/>
      <c r="W37" s="9"/>
      <c r="X37" s="9"/>
      <c r="Y37" s="9"/>
      <c r="Z37" s="9"/>
      <c r="AA37" s="9"/>
      <c r="AB37" s="10"/>
      <c r="AC37" s="10"/>
      <c r="AD37" s="9"/>
      <c r="AE37" s="9"/>
      <c r="AF37" s="9"/>
      <c r="AG37" s="11" t="n">
        <f aca="false">(COUNTIF(C37:AF37,"H")*1)+(COUNTIF(C37:AF37,"H1")*0.5)+(COUNTIF(C37:AF37,"H2")*0.5)+(COUNTIF(C37:AF37,"Q")*0.25)+(COUNTIF(C37:AF37,"I")*1)+(COUNTIF(C37:AF37,"S")*0)+(COUNTIF(C37:AF37,"M")*1)+(COUNTIF(C37:AF37,"C")*0)+(COUNTIF(C37:AF37,"V")*1)+(COUNTIF(C37:AF37,"A")*1)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9"/>
      <c r="F38" s="9"/>
      <c r="G38" s="10"/>
      <c r="H38" s="10"/>
      <c r="I38" s="9"/>
      <c r="J38" s="9"/>
      <c r="K38" s="9"/>
      <c r="L38" s="9"/>
      <c r="M38" s="9"/>
      <c r="N38" s="10"/>
      <c r="O38" s="10"/>
      <c r="P38" s="9"/>
      <c r="Q38" s="9"/>
      <c r="R38" s="9"/>
      <c r="S38" s="9"/>
      <c r="T38" s="9"/>
      <c r="U38" s="10"/>
      <c r="V38" s="10"/>
      <c r="W38" s="9"/>
      <c r="X38" s="9"/>
      <c r="Y38" s="9"/>
      <c r="Z38" s="9"/>
      <c r="AA38" s="9"/>
      <c r="AB38" s="10"/>
      <c r="AC38" s="10"/>
      <c r="AD38" s="9"/>
      <c r="AE38" s="9"/>
      <c r="AF38" s="9"/>
      <c r="AG38" s="11" t="n">
        <f aca="false">(COUNTIF(C38:AF38,"H")*1)+(COUNTIF(C38:AF38,"H1")*0.5)+(COUNTIF(C38:AF38,"H2")*0.5)+(COUNTIF(C38:AF38,"Q")*0.25)+(COUNTIF(C38:AF38,"I")*1)+(COUNTIF(C38:AF38,"S")*0)+(COUNTIF(C38:AF38,"M")*1)+(COUNTIF(C38:AF38,"C")*0)+(COUNTIF(C38:AF38,"V")*1)+(COUNTIF(C38:AF38,"A")*1)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9"/>
      <c r="F39" s="9"/>
      <c r="G39" s="10"/>
      <c r="H39" s="10"/>
      <c r="I39" s="9"/>
      <c r="J39" s="9"/>
      <c r="K39" s="9"/>
      <c r="L39" s="9"/>
      <c r="M39" s="9"/>
      <c r="N39" s="10"/>
      <c r="O39" s="10"/>
      <c r="P39" s="9"/>
      <c r="Q39" s="9"/>
      <c r="R39" s="9"/>
      <c r="S39" s="9"/>
      <c r="T39" s="9"/>
      <c r="U39" s="10"/>
      <c r="V39" s="10"/>
      <c r="W39" s="9"/>
      <c r="X39" s="9"/>
      <c r="Y39" s="9"/>
      <c r="Z39" s="9"/>
      <c r="AA39" s="9"/>
      <c r="AB39" s="10"/>
      <c r="AC39" s="10"/>
      <c r="AD39" s="9"/>
      <c r="AE39" s="9"/>
      <c r="AF39" s="9"/>
      <c r="AG39" s="11" t="n">
        <f aca="false">(COUNTIF(C39:AF39,"H")*1)+(COUNTIF(C39:AF39,"H1")*0.5)+(COUNTIF(C39:AF39,"H2")*0.5)+(COUNTIF(C39:AF39,"Q")*0.25)+(COUNTIF(C39:AF39,"I")*1)+(COUNTIF(C39:AF39,"S")*0)+(COUNTIF(C39:AF39,"M")*1)+(COUNTIF(C39:AF39,"C")*0)+(COUNTIF(C39:AF39,"V")*1)+(COUNTIF(C39:AF39,"A")*1)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9"/>
      <c r="F40" s="9"/>
      <c r="G40" s="10"/>
      <c r="H40" s="10"/>
      <c r="I40" s="9"/>
      <c r="J40" s="9"/>
      <c r="K40" s="9"/>
      <c r="L40" s="9"/>
      <c r="M40" s="9"/>
      <c r="N40" s="10"/>
      <c r="O40" s="10"/>
      <c r="P40" s="9"/>
      <c r="Q40" s="9"/>
      <c r="R40" s="9"/>
      <c r="S40" s="9"/>
      <c r="T40" s="9"/>
      <c r="U40" s="10"/>
      <c r="V40" s="10"/>
      <c r="W40" s="9"/>
      <c r="X40" s="9"/>
      <c r="Y40" s="9"/>
      <c r="Z40" s="9"/>
      <c r="AA40" s="9"/>
      <c r="AB40" s="10"/>
      <c r="AC40" s="10"/>
      <c r="AD40" s="9"/>
      <c r="AE40" s="9"/>
      <c r="AF40" s="9"/>
      <c r="AG40" s="11" t="n">
        <f aca="false">(COUNTIF(C40:AF40,"H")*1)+(COUNTIF(C40:AF40,"H1")*0.5)+(COUNTIF(C40:AF40,"H2")*0.5)+(COUNTIF(C40:AF40,"Q")*0.25)+(COUNTIF(C40:AF40,"I")*1)+(COUNTIF(C40:AF40,"S")*0)+(COUNTIF(C40:AF40,"M")*1)+(COUNTIF(C40:AF40,"C")*0)+(COUNTIF(C40:AF40,"V")*1)+(COUNTIF(C40:AF40,"A")*1)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9"/>
      <c r="F41" s="9"/>
      <c r="G41" s="10"/>
      <c r="H41" s="10"/>
      <c r="I41" s="9"/>
      <c r="J41" s="9"/>
      <c r="K41" s="9"/>
      <c r="L41" s="9"/>
      <c r="M41" s="9"/>
      <c r="N41" s="10"/>
      <c r="O41" s="10"/>
      <c r="P41" s="9"/>
      <c r="Q41" s="9"/>
      <c r="R41" s="9"/>
      <c r="S41" s="9"/>
      <c r="T41" s="9"/>
      <c r="U41" s="10"/>
      <c r="V41" s="10"/>
      <c r="W41" s="9"/>
      <c r="X41" s="9"/>
      <c r="Y41" s="9"/>
      <c r="Z41" s="9"/>
      <c r="AA41" s="9"/>
      <c r="AB41" s="10"/>
      <c r="AC41" s="10"/>
      <c r="AD41" s="9"/>
      <c r="AE41" s="9"/>
      <c r="AF41" s="9"/>
      <c r="AG41" s="11" t="n">
        <f aca="false">(COUNTIF(C41:AF41,"H")*1)+(COUNTIF(C41:AF41,"H1")*0.5)+(COUNTIF(C41:AF41,"H2")*0.5)+(COUNTIF(C41:AF41,"Q")*0.25)+(COUNTIF(C41:AF41,"I")*1)+(COUNTIF(C41:AF41,"S")*0)+(COUNTIF(C41:AF41,"M")*1)+(COUNTIF(C41:AF41,"C")*0)+(COUNTIF(C41:AF41,"V")*1)+(COUNTIF(C41:AF41,"A")*1)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9"/>
      <c r="F42" s="9"/>
      <c r="G42" s="10"/>
      <c r="H42" s="10"/>
      <c r="I42" s="9"/>
      <c r="J42" s="9"/>
      <c r="K42" s="9"/>
      <c r="L42" s="9"/>
      <c r="M42" s="9"/>
      <c r="N42" s="10"/>
      <c r="O42" s="10"/>
      <c r="P42" s="9"/>
      <c r="Q42" s="9"/>
      <c r="R42" s="9"/>
      <c r="S42" s="9"/>
      <c r="T42" s="9"/>
      <c r="U42" s="10"/>
      <c r="V42" s="10"/>
      <c r="W42" s="9"/>
      <c r="X42" s="9"/>
      <c r="Y42" s="9"/>
      <c r="Z42" s="9"/>
      <c r="AA42" s="9"/>
      <c r="AB42" s="10"/>
      <c r="AC42" s="10"/>
      <c r="AD42" s="9"/>
      <c r="AE42" s="9"/>
      <c r="AF42" s="9"/>
      <c r="AG42" s="11" t="n">
        <f aca="false">(COUNTIF(C42:AF42,"H")*1)+(COUNTIF(C42:AF42,"H1")*0.5)+(COUNTIF(C42:AF42,"H2")*0.5)+(COUNTIF(C42:AF42,"Q")*0.25)+(COUNTIF(C42:AF42,"I")*1)+(COUNTIF(C42:AF42,"S")*0)+(COUNTIF(C42:AF42,"M")*1)+(COUNTIF(C42:AF42,"C")*0)+(COUNTIF(C42:AF42,"V")*1)+(COUNTIF(C42:AF42,"A")*1)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9"/>
      <c r="F43" s="9"/>
      <c r="G43" s="10"/>
      <c r="H43" s="10"/>
      <c r="I43" s="9"/>
      <c r="J43" s="9"/>
      <c r="K43" s="9"/>
      <c r="L43" s="9"/>
      <c r="M43" s="9"/>
      <c r="N43" s="10"/>
      <c r="O43" s="10"/>
      <c r="P43" s="9"/>
      <c r="Q43" s="9"/>
      <c r="R43" s="9"/>
      <c r="S43" s="9"/>
      <c r="T43" s="9"/>
      <c r="U43" s="10"/>
      <c r="V43" s="10"/>
      <c r="W43" s="9"/>
      <c r="X43" s="9"/>
      <c r="Y43" s="9"/>
      <c r="Z43" s="9"/>
      <c r="AA43" s="9"/>
      <c r="AB43" s="10"/>
      <c r="AC43" s="10"/>
      <c r="AD43" s="9"/>
      <c r="AE43" s="9"/>
      <c r="AF43" s="9"/>
      <c r="AG43" s="11" t="n">
        <f aca="false">(COUNTIF(C43:AF43,"H")*1)+(COUNTIF(C43:AF43,"H1")*0.5)+(COUNTIF(C43:AF43,"H2")*0.5)+(COUNTIF(C43:AF43,"Q")*0.25)+(COUNTIF(C43:AF43,"I")*1)+(COUNTIF(C43:AF43,"S")*0)+(COUNTIF(C43:AF43,"M")*1)+(COUNTIF(C43:AF43,"C")*0)+(COUNTIF(C43:AF43,"V")*1)+(COUNTIF(C43:AF43,"A")*1)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9"/>
      <c r="F44" s="9"/>
      <c r="G44" s="10"/>
      <c r="H44" s="10"/>
      <c r="I44" s="9"/>
      <c r="J44" s="9"/>
      <c r="K44" s="9"/>
      <c r="L44" s="9"/>
      <c r="M44" s="9"/>
      <c r="N44" s="10"/>
      <c r="O44" s="10"/>
      <c r="P44" s="9"/>
      <c r="Q44" s="9"/>
      <c r="R44" s="9"/>
      <c r="S44" s="9"/>
      <c r="T44" s="9"/>
      <c r="U44" s="10"/>
      <c r="V44" s="10"/>
      <c r="W44" s="9"/>
      <c r="X44" s="9"/>
      <c r="Y44" s="9"/>
      <c r="Z44" s="9"/>
      <c r="AA44" s="9"/>
      <c r="AB44" s="10"/>
      <c r="AC44" s="10"/>
      <c r="AD44" s="9"/>
      <c r="AE44" s="9"/>
      <c r="AF44" s="9"/>
      <c r="AG44" s="11" t="n">
        <f aca="false">(COUNTIF(C44:AF44,"H")*1)+(COUNTIF(C44:AF44,"H1")*0.5)+(COUNTIF(C44:AF44,"H2")*0.5)+(COUNTIF(C44:AF44,"Q")*0.25)+(COUNTIF(C44:AF44,"I")*1)+(COUNTIF(C44:AF44,"S")*0)+(COUNTIF(C44:AF44,"M")*1)+(COUNTIF(C44:AF44,"C")*0)+(COUNTIF(C44:AF44,"V")*1)+(COUNTIF(C44:AF44,"A")*1)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9"/>
      <c r="F45" s="9"/>
      <c r="G45" s="10"/>
      <c r="H45" s="10"/>
      <c r="I45" s="9"/>
      <c r="J45" s="9"/>
      <c r="K45" s="9"/>
      <c r="L45" s="9"/>
      <c r="M45" s="9"/>
      <c r="N45" s="10"/>
      <c r="O45" s="10"/>
      <c r="P45" s="9"/>
      <c r="Q45" s="9"/>
      <c r="R45" s="9"/>
      <c r="S45" s="9"/>
      <c r="T45" s="9"/>
      <c r="U45" s="10"/>
      <c r="V45" s="10"/>
      <c r="W45" s="9"/>
      <c r="X45" s="9"/>
      <c r="Y45" s="9"/>
      <c r="Z45" s="9"/>
      <c r="AA45" s="9"/>
      <c r="AB45" s="10"/>
      <c r="AC45" s="10"/>
      <c r="AD45" s="9"/>
      <c r="AE45" s="9"/>
      <c r="AF45" s="9"/>
      <c r="AG45" s="11" t="n">
        <f aca="false">(COUNTIF(C45:AF45,"H")*1)+(COUNTIF(C45:AF45,"H1")*0.5)+(COUNTIF(C45:AF45,"H2")*0.5)+(COUNTIF(C45:AF45,"Q")*0.25)+(COUNTIF(C45:AF45,"I")*1)+(COUNTIF(C45:AF45,"S")*0)+(COUNTIF(C45:AF45,"M")*1)+(COUNTIF(C45:AF45,"C")*0)+(COUNTIF(C45:AF45,"V")*1)+(COUNTIF(C45:AF45,"A")*1)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9"/>
      <c r="F46" s="9"/>
      <c r="G46" s="10"/>
      <c r="H46" s="10"/>
      <c r="I46" s="9"/>
      <c r="J46" s="9"/>
      <c r="K46" s="9"/>
      <c r="L46" s="9"/>
      <c r="M46" s="9"/>
      <c r="N46" s="10"/>
      <c r="O46" s="10"/>
      <c r="P46" s="9"/>
      <c r="Q46" s="9"/>
      <c r="R46" s="9"/>
      <c r="S46" s="9"/>
      <c r="T46" s="9"/>
      <c r="U46" s="10"/>
      <c r="V46" s="10"/>
      <c r="W46" s="9"/>
      <c r="X46" s="9"/>
      <c r="Y46" s="9"/>
      <c r="Z46" s="9"/>
      <c r="AA46" s="9"/>
      <c r="AB46" s="10"/>
      <c r="AC46" s="10"/>
      <c r="AD46" s="9"/>
      <c r="AE46" s="9"/>
      <c r="AF46" s="9"/>
      <c r="AG46" s="11" t="n">
        <f aca="false">(COUNTIF(C46:AF46,"H")*1)+(COUNTIF(C46:AF46,"H1")*0.5)+(COUNTIF(C46:AF46,"H2")*0.5)+(COUNTIF(C46:AF46,"Q")*0.25)+(COUNTIF(C46:AF46,"I")*1)+(COUNTIF(C46:AF46,"S")*0)+(COUNTIF(C46:AF46,"M")*1)+(COUNTIF(C46:AF46,"C")*0)+(COUNTIF(C46:AF46,"V")*1)+(COUNTIF(C46:AF46,"A")*1)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9"/>
      <c r="F47" s="9"/>
      <c r="G47" s="10"/>
      <c r="H47" s="10"/>
      <c r="I47" s="9"/>
      <c r="J47" s="9"/>
      <c r="K47" s="9"/>
      <c r="L47" s="9"/>
      <c r="M47" s="9"/>
      <c r="N47" s="10"/>
      <c r="O47" s="10"/>
      <c r="P47" s="9"/>
      <c r="Q47" s="9"/>
      <c r="R47" s="9"/>
      <c r="S47" s="9"/>
      <c r="T47" s="9"/>
      <c r="U47" s="10"/>
      <c r="V47" s="10"/>
      <c r="W47" s="9"/>
      <c r="X47" s="9"/>
      <c r="Y47" s="9"/>
      <c r="Z47" s="9"/>
      <c r="AA47" s="9"/>
      <c r="AB47" s="10"/>
      <c r="AC47" s="10"/>
      <c r="AD47" s="9"/>
      <c r="AE47" s="9"/>
      <c r="AF47" s="9"/>
      <c r="AG47" s="11" t="n">
        <f aca="false">(COUNTIF(C47:AF47,"H")*1)+(COUNTIF(C47:AF47,"H1")*0.5)+(COUNTIF(C47:AF47,"H2")*0.5)+(COUNTIF(C47:AF47,"Q")*0.25)+(COUNTIF(C47:AF47,"I")*1)+(COUNTIF(C47:AF47,"S")*0)+(COUNTIF(C47:AF47,"M")*1)+(COUNTIF(C47:AF47,"C")*0)+(COUNTIF(C47:AF47,"V")*1)+(COUNTIF(C47:AF47,"A")*1)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9"/>
      <c r="F48" s="9"/>
      <c r="G48" s="10"/>
      <c r="H48" s="10"/>
      <c r="I48" s="9"/>
      <c r="J48" s="9"/>
      <c r="K48" s="9"/>
      <c r="L48" s="9"/>
      <c r="M48" s="9"/>
      <c r="N48" s="10"/>
      <c r="O48" s="10"/>
      <c r="P48" s="9"/>
      <c r="Q48" s="9"/>
      <c r="R48" s="9"/>
      <c r="S48" s="9"/>
      <c r="T48" s="9"/>
      <c r="U48" s="10"/>
      <c r="V48" s="10"/>
      <c r="W48" s="9"/>
      <c r="X48" s="9"/>
      <c r="Y48" s="9"/>
      <c r="Z48" s="9"/>
      <c r="AA48" s="9"/>
      <c r="AB48" s="10"/>
      <c r="AC48" s="10"/>
      <c r="AD48" s="9"/>
      <c r="AE48" s="9"/>
      <c r="AF48" s="9"/>
      <c r="AG48" s="11" t="n">
        <f aca="false">(COUNTIF(C48:AF48,"H")*1)+(COUNTIF(C48:AF48,"H1")*0.5)+(COUNTIF(C48:AF48,"H2")*0.5)+(COUNTIF(C48:AF48,"Q")*0.25)+(COUNTIF(C48:AF48,"I")*1)+(COUNTIF(C48:AF48,"S")*0)+(COUNTIF(C48:AF48,"M")*1)+(COUNTIF(C48:AF48,"C")*0)+(COUNTIF(C48:AF48,"V")*1)+(COUNTIF(C48:AF48,"A")*1)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9"/>
      <c r="F49" s="9"/>
      <c r="G49" s="10"/>
      <c r="H49" s="10"/>
      <c r="I49" s="9"/>
      <c r="J49" s="9"/>
      <c r="K49" s="9"/>
      <c r="L49" s="9"/>
      <c r="M49" s="9"/>
      <c r="N49" s="10"/>
      <c r="O49" s="10"/>
      <c r="P49" s="9"/>
      <c r="Q49" s="9"/>
      <c r="R49" s="9"/>
      <c r="S49" s="9"/>
      <c r="T49" s="9"/>
      <c r="U49" s="10"/>
      <c r="V49" s="10"/>
      <c r="W49" s="9"/>
      <c r="X49" s="9"/>
      <c r="Y49" s="9"/>
      <c r="Z49" s="9"/>
      <c r="AA49" s="9"/>
      <c r="AB49" s="10"/>
      <c r="AC49" s="10"/>
      <c r="AD49" s="9"/>
      <c r="AE49" s="9"/>
      <c r="AF49" s="9"/>
      <c r="AG49" s="11" t="n">
        <f aca="false">(COUNTIF(C49:AF49,"H")*1)+(COUNTIF(C49:AF49,"H1")*0.5)+(COUNTIF(C49:AF49,"H2")*0.5)+(COUNTIF(C49:AF49,"Q")*0.25)+(COUNTIF(C49:AF49,"I")*1)+(COUNTIF(C49:AF49,"S")*0)+(COUNTIF(C49:AF49,"M")*1)+(COUNTIF(C49:AF49,"C")*0)+(COUNTIF(C49:AF49,"V")*1)+(COUNTIF(C49:AF49,"A")*1)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9"/>
      <c r="F50" s="9"/>
      <c r="G50" s="10"/>
      <c r="H50" s="10"/>
      <c r="I50" s="9"/>
      <c r="J50" s="9"/>
      <c r="K50" s="9"/>
      <c r="L50" s="9"/>
      <c r="M50" s="9"/>
      <c r="N50" s="10"/>
      <c r="O50" s="10"/>
      <c r="P50" s="9"/>
      <c r="Q50" s="9"/>
      <c r="R50" s="9"/>
      <c r="S50" s="9"/>
      <c r="T50" s="9"/>
      <c r="U50" s="10"/>
      <c r="V50" s="10"/>
      <c r="W50" s="9"/>
      <c r="X50" s="9"/>
      <c r="Y50" s="9"/>
      <c r="Z50" s="9"/>
      <c r="AA50" s="9"/>
      <c r="AB50" s="10"/>
      <c r="AC50" s="10"/>
      <c r="AD50" s="9"/>
      <c r="AE50" s="9"/>
      <c r="AF50" s="9"/>
      <c r="AG50" s="11" t="n">
        <f aca="false">(COUNTIF(C50:AF50,"H")*1)+(COUNTIF(C50:AF50,"H1")*0.5)+(COUNTIF(C50:AF50,"H2")*0.5)+(COUNTIF(C50:AF50,"Q")*0.25)+(COUNTIF(C50:AF50,"I")*1)+(COUNTIF(C50:AF50,"S")*0)+(COUNTIF(C50:AF50,"M")*1)+(COUNTIF(C50:AF50,"C")*0)+(COUNTIF(C50:AF50,"V")*1)+(COUNTIF(C50:AF50,"A")*1)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9"/>
      <c r="F51" s="9"/>
      <c r="G51" s="10"/>
      <c r="H51" s="10"/>
      <c r="I51" s="9"/>
      <c r="J51" s="9"/>
      <c r="K51" s="9"/>
      <c r="L51" s="9"/>
      <c r="M51" s="9"/>
      <c r="N51" s="10"/>
      <c r="O51" s="10"/>
      <c r="P51" s="9"/>
      <c r="Q51" s="9"/>
      <c r="R51" s="9"/>
      <c r="S51" s="9"/>
      <c r="T51" s="9"/>
      <c r="U51" s="10"/>
      <c r="V51" s="10"/>
      <c r="W51" s="9"/>
      <c r="X51" s="9"/>
      <c r="Y51" s="9"/>
      <c r="Z51" s="9"/>
      <c r="AA51" s="9"/>
      <c r="AB51" s="10"/>
      <c r="AC51" s="10"/>
      <c r="AD51" s="9"/>
      <c r="AE51" s="9"/>
      <c r="AF51" s="9"/>
      <c r="AG51" s="11" t="n">
        <f aca="false">(COUNTIF(C51:AF51,"H")*1)+(COUNTIF(C51:AF51,"H1")*0.5)+(COUNTIF(C51:AF51,"H2")*0.5)+(COUNTIF(C51:AF51,"Q")*0.25)+(COUNTIF(C51:AF51,"I")*1)+(COUNTIF(C51:AF51,"S")*0)+(COUNTIF(C51:AF51,"M")*1)+(COUNTIF(C51:AF51,"C")*0)+(COUNTIF(C51:AF51,"V")*1)+(COUNTIF(C51:AF51,"A")*1)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9"/>
      <c r="F52" s="9"/>
      <c r="G52" s="10"/>
      <c r="H52" s="10"/>
      <c r="I52" s="9"/>
      <c r="J52" s="9"/>
      <c r="K52" s="9"/>
      <c r="L52" s="9"/>
      <c r="M52" s="9"/>
      <c r="N52" s="10"/>
      <c r="O52" s="10"/>
      <c r="P52" s="9"/>
      <c r="Q52" s="9"/>
      <c r="R52" s="9"/>
      <c r="S52" s="9"/>
      <c r="T52" s="9"/>
      <c r="U52" s="10"/>
      <c r="V52" s="10"/>
      <c r="W52" s="9"/>
      <c r="X52" s="9"/>
      <c r="Y52" s="9"/>
      <c r="Z52" s="9"/>
      <c r="AA52" s="9"/>
      <c r="AB52" s="10"/>
      <c r="AC52" s="10"/>
      <c r="AD52" s="9"/>
      <c r="AE52" s="9"/>
      <c r="AF52" s="9"/>
      <c r="AG52" s="11" t="n">
        <f aca="false">(COUNTIF(C52:AF52,"H")*1)+(COUNTIF(C52:AF52,"H1")*0.5)+(COUNTIF(C52:AF52,"H2")*0.5)+(COUNTIF(C52:AF52,"Q")*0.25)+(COUNTIF(C52:AF52,"I")*1)+(COUNTIF(C52:AF52,"S")*0)+(COUNTIF(C52:AF52,"M")*1)+(COUNTIF(C52:AF52,"C")*0)+(COUNTIF(C52:AF52,"V")*1)+(COUNTIF(C52:AF52,"A")*1)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9"/>
      <c r="F53" s="9"/>
      <c r="G53" s="10"/>
      <c r="H53" s="10"/>
      <c r="I53" s="9"/>
      <c r="J53" s="9"/>
      <c r="K53" s="9"/>
      <c r="L53" s="9"/>
      <c r="M53" s="9"/>
      <c r="N53" s="10"/>
      <c r="O53" s="10"/>
      <c r="P53" s="9"/>
      <c r="Q53" s="9"/>
      <c r="R53" s="9"/>
      <c r="S53" s="9"/>
      <c r="T53" s="9"/>
      <c r="U53" s="10"/>
      <c r="V53" s="10"/>
      <c r="W53" s="9"/>
      <c r="X53" s="9"/>
      <c r="Y53" s="9"/>
      <c r="Z53" s="9"/>
      <c r="AA53" s="9"/>
      <c r="AB53" s="10"/>
      <c r="AC53" s="10"/>
      <c r="AD53" s="9"/>
      <c r="AE53" s="9"/>
      <c r="AF53" s="9"/>
      <c r="AG53" s="11" t="n">
        <f aca="false">(COUNTIF(C53:AF53,"H")*1)+(COUNTIF(C53:AF53,"H1")*0.5)+(COUNTIF(C53:AF53,"H2")*0.5)+(COUNTIF(C53:AF53,"Q")*0.25)+(COUNTIF(C53:AF53,"I")*1)+(COUNTIF(C53:AF53,"S")*0)+(COUNTIF(C53:AF53,"M")*1)+(COUNTIF(C53:AF53,"C")*0)+(COUNTIF(C53:AF53,"V")*1)+(COUNTIF(C53:AF53,"A")*1)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9"/>
      <c r="F54" s="9"/>
      <c r="G54" s="10"/>
      <c r="H54" s="10"/>
      <c r="I54" s="9"/>
      <c r="J54" s="9"/>
      <c r="K54" s="9"/>
      <c r="L54" s="9"/>
      <c r="M54" s="9"/>
      <c r="N54" s="10"/>
      <c r="O54" s="10"/>
      <c r="P54" s="9"/>
      <c r="Q54" s="9"/>
      <c r="R54" s="9"/>
      <c r="S54" s="9"/>
      <c r="T54" s="9"/>
      <c r="U54" s="10"/>
      <c r="V54" s="10"/>
      <c r="W54" s="9"/>
      <c r="X54" s="9"/>
      <c r="Y54" s="9"/>
      <c r="Z54" s="9"/>
      <c r="AA54" s="9"/>
      <c r="AB54" s="10"/>
      <c r="AC54" s="10"/>
      <c r="AD54" s="9"/>
      <c r="AE54" s="9"/>
      <c r="AF54" s="9"/>
      <c r="AG54" s="11" t="n">
        <f aca="false">(COUNTIF(C54:AF54,"H")*1)+(COUNTIF(C54:AF54,"H1")*0.5)+(COUNTIF(C54:AF54,"H2")*0.5)+(COUNTIF(C54:AF54,"Q")*0.25)+(COUNTIF(C54:AF54,"I")*1)+(COUNTIF(C54:AF54,"S")*0)+(COUNTIF(C54:AF54,"M")*1)+(COUNTIF(C54:AF54,"C")*0)+(COUNTIF(C54:AF54,"V")*1)+(COUNTIF(C54:AF54,"A")*1)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9"/>
      <c r="F55" s="9"/>
      <c r="G55" s="10"/>
      <c r="H55" s="10"/>
      <c r="I55" s="9"/>
      <c r="J55" s="9"/>
      <c r="K55" s="9"/>
      <c r="L55" s="9"/>
      <c r="M55" s="9"/>
      <c r="N55" s="10"/>
      <c r="O55" s="10"/>
      <c r="P55" s="9"/>
      <c r="Q55" s="9"/>
      <c r="R55" s="9"/>
      <c r="S55" s="9"/>
      <c r="T55" s="9"/>
      <c r="U55" s="10"/>
      <c r="V55" s="10"/>
      <c r="W55" s="9"/>
      <c r="X55" s="9"/>
      <c r="Y55" s="9"/>
      <c r="Z55" s="9"/>
      <c r="AA55" s="9"/>
      <c r="AB55" s="10"/>
      <c r="AC55" s="10"/>
      <c r="AD55" s="9"/>
      <c r="AE55" s="9"/>
      <c r="AF55" s="9"/>
      <c r="AG55" s="11" t="n">
        <f aca="false">(COUNTIF(C55:AF55,"H")*1)+(COUNTIF(C55:AF55,"H1")*0.5)+(COUNTIF(C55:AF55,"H2")*0.5)+(COUNTIF(C55:AF55,"Q")*0.25)+(COUNTIF(C55:AF55,"I")*1)+(COUNTIF(C55:AF55,"S")*0)+(COUNTIF(C55:AF55,"M")*1)+(COUNTIF(C55:AF55,"C")*0)+(COUNTIF(C55:AF55,"V")*1)+(COUNTIF(C55:AF55,"A")*1)</f>
        <v>0</v>
      </c>
    </row>
    <row r="57" customFormat="false" ht="15.75" hidden="false" customHeight="false" outlineLevel="0" collapsed="false">
      <c r="B57" s="24" t="s">
        <v>107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</sheetData>
  <mergeCells count="12">
    <mergeCell ref="C1:AF1"/>
    <mergeCell ref="C2:H2"/>
    <mergeCell ref="I2:O2"/>
    <mergeCell ref="P2:V2"/>
    <mergeCell ref="W2:AC2"/>
    <mergeCell ref="AD2:AF2"/>
    <mergeCell ref="AG3:AG5"/>
    <mergeCell ref="AI3:AI5"/>
    <mergeCell ref="AJ3:AJ5"/>
    <mergeCell ref="AK3:AK5"/>
    <mergeCell ref="B57:AF57"/>
    <mergeCell ref="B58:AF58"/>
  </mergeCells>
  <conditionalFormatting sqref="C6:AF55">
    <cfRule type="expression" priority="2" aboveAverage="0" equalAverage="0" bottom="0" percent="0" rank="0" text="" dxfId="80">
      <formula>NOT(ISERROR(SEARCH("H1", C6)))</formula>
    </cfRule>
    <cfRule type="expression" priority="3" aboveAverage="0" equalAverage="0" bottom="0" percent="0" rank="0" text="" dxfId="81">
      <formula>NOT(ISERROR(SEARCH("H2", C6)))</formula>
    </cfRule>
    <cfRule type="expression" priority="4" aboveAverage="0" equalAverage="0" bottom="0" percent="0" rank="0" text="" dxfId="82">
      <formula>NOT(ISERROR(SEARCH("H", C6)))</formula>
    </cfRule>
    <cfRule type="expression" priority="5" aboveAverage="0" equalAverage="0" bottom="0" percent="0" rank="0" text="" dxfId="83">
      <formula>NOT(ISERROR(SEARCH("Q", C6)))</formula>
    </cfRule>
    <cfRule type="expression" priority="6" aboveAverage="0" equalAverage="0" bottom="0" percent="0" rank="0" text="" dxfId="84">
      <formula>NOT(ISERROR(SEARCH("I", C6)))</formula>
    </cfRule>
    <cfRule type="expression" priority="7" aboveAverage="0" equalAverage="0" bottom="0" percent="0" rank="0" text="" dxfId="85">
      <formula>NOT(ISERROR(SEARCH("S", C6)))</formula>
    </cfRule>
    <cfRule type="expression" priority="8" aboveAverage="0" equalAverage="0" bottom="0" percent="0" rank="0" text="" dxfId="86">
      <formula>NOT(ISERROR(SEARCH("M", C6)))</formula>
    </cfRule>
    <cfRule type="expression" priority="9" aboveAverage="0" equalAverage="0" bottom="0" percent="0" rank="0" text="" dxfId="87">
      <formula>NOT(ISERROR(SEARCH("C", C6)))</formula>
    </cfRule>
    <cfRule type="expression" priority="10" aboveAverage="0" equalAverage="0" bottom="0" percent="0" rank="0" text="" dxfId="88">
      <formula>NOT(ISERROR(SEARCH("V", C6)))</formula>
    </cfRule>
    <cfRule type="expression" priority="11" aboveAverage="0" equalAverage="0" bottom="0" percent="0" rank="0" text="" dxfId="8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3.51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105</v>
      </c>
      <c r="D2" s="1"/>
      <c r="E2" s="1"/>
      <c r="F2" s="1"/>
      <c r="G2" s="1" t="s">
        <v>108</v>
      </c>
      <c r="H2" s="1"/>
      <c r="I2" s="1"/>
      <c r="J2" s="1"/>
      <c r="K2" s="1"/>
      <c r="L2" s="1"/>
      <c r="M2" s="1"/>
      <c r="N2" s="1" t="s">
        <v>109</v>
      </c>
      <c r="O2" s="1"/>
      <c r="P2" s="1"/>
      <c r="Q2" s="1"/>
      <c r="R2" s="1"/>
      <c r="S2" s="1"/>
      <c r="T2" s="1"/>
      <c r="U2" s="1" t="s">
        <v>110</v>
      </c>
      <c r="V2" s="1"/>
      <c r="W2" s="1"/>
      <c r="X2" s="1"/>
      <c r="Y2" s="1"/>
      <c r="Z2" s="1"/>
      <c r="AA2" s="1"/>
      <c r="AB2" s="1" t="s">
        <v>111</v>
      </c>
      <c r="AC2" s="1"/>
      <c r="AD2" s="1"/>
      <c r="AE2" s="1"/>
      <c r="AF2" s="1"/>
      <c r="AG2" s="1"/>
    </row>
    <row r="3" customFormat="false" ht="12" hidden="false" customHeight="true" outlineLevel="0" collapsed="false">
      <c r="B3" s="2"/>
      <c r="C3" s="3" t="s">
        <v>112</v>
      </c>
      <c r="D3" s="3" t="s">
        <v>112</v>
      </c>
      <c r="E3" s="3" t="s">
        <v>112</v>
      </c>
      <c r="F3" s="3" t="s">
        <v>112</v>
      </c>
      <c r="G3" s="3" t="s">
        <v>112</v>
      </c>
      <c r="H3" s="3" t="s">
        <v>112</v>
      </c>
      <c r="I3" s="3" t="s">
        <v>112</v>
      </c>
      <c r="J3" s="3" t="s">
        <v>112</v>
      </c>
      <c r="K3" s="3" t="s">
        <v>112</v>
      </c>
      <c r="L3" s="3" t="s">
        <v>112</v>
      </c>
      <c r="M3" s="3" t="s">
        <v>112</v>
      </c>
      <c r="N3" s="3" t="s">
        <v>112</v>
      </c>
      <c r="O3" s="3" t="s">
        <v>112</v>
      </c>
      <c r="P3" s="3" t="s">
        <v>112</v>
      </c>
      <c r="Q3" s="3" t="s">
        <v>112</v>
      </c>
      <c r="R3" s="3" t="s">
        <v>112</v>
      </c>
      <c r="S3" s="3" t="s">
        <v>112</v>
      </c>
      <c r="T3" s="3" t="s">
        <v>112</v>
      </c>
      <c r="U3" s="3" t="s">
        <v>112</v>
      </c>
      <c r="V3" s="3" t="s">
        <v>112</v>
      </c>
      <c r="W3" s="3" t="s">
        <v>112</v>
      </c>
      <c r="X3" s="3" t="s">
        <v>112</v>
      </c>
      <c r="Y3" s="3" t="s">
        <v>112</v>
      </c>
      <c r="Z3" s="3" t="s">
        <v>112</v>
      </c>
      <c r="AA3" s="3" t="s">
        <v>112</v>
      </c>
      <c r="AB3" s="3" t="s">
        <v>112</v>
      </c>
      <c r="AC3" s="3" t="s">
        <v>112</v>
      </c>
      <c r="AD3" s="3" t="s">
        <v>112</v>
      </c>
      <c r="AE3" s="3" t="s">
        <v>112</v>
      </c>
      <c r="AF3" s="3" t="s">
        <v>112</v>
      </c>
      <c r="AG3" s="3" t="s">
        <v>112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11</v>
      </c>
      <c r="D5" s="6" t="s">
        <v>12</v>
      </c>
      <c r="E5" s="6" t="s">
        <v>13</v>
      </c>
      <c r="F5" s="6" t="s">
        <v>14</v>
      </c>
      <c r="G5" s="6" t="s">
        <v>15</v>
      </c>
      <c r="H5" s="6" t="s">
        <v>16</v>
      </c>
      <c r="I5" s="6" t="s">
        <v>17</v>
      </c>
      <c r="J5" s="6" t="s">
        <v>11</v>
      </c>
      <c r="K5" s="6" t="s">
        <v>12</v>
      </c>
      <c r="L5" s="6" t="s">
        <v>13</v>
      </c>
      <c r="M5" s="6" t="s">
        <v>14</v>
      </c>
      <c r="N5" s="6" t="s">
        <v>15</v>
      </c>
      <c r="O5" s="6" t="s">
        <v>16</v>
      </c>
      <c r="P5" s="6" t="s">
        <v>17</v>
      </c>
      <c r="Q5" s="6" t="s">
        <v>11</v>
      </c>
      <c r="R5" s="6" t="s">
        <v>12</v>
      </c>
      <c r="S5" s="6" t="s">
        <v>13</v>
      </c>
      <c r="T5" s="6" t="s">
        <v>14</v>
      </c>
      <c r="U5" s="6" t="s">
        <v>15</v>
      </c>
      <c r="V5" s="6" t="s">
        <v>16</v>
      </c>
      <c r="W5" s="6" t="s">
        <v>17</v>
      </c>
      <c r="X5" s="6" t="s">
        <v>11</v>
      </c>
      <c r="Y5" s="6" t="s">
        <v>12</v>
      </c>
      <c r="Z5" s="6" t="s">
        <v>13</v>
      </c>
      <c r="AA5" s="6" t="s">
        <v>14</v>
      </c>
      <c r="AB5" s="6" t="s">
        <v>15</v>
      </c>
      <c r="AC5" s="6" t="s">
        <v>16</v>
      </c>
      <c r="AD5" s="6" t="s">
        <v>17</v>
      </c>
      <c r="AE5" s="6" t="s">
        <v>11</v>
      </c>
      <c r="AF5" s="6" t="s">
        <v>12</v>
      </c>
      <c r="AG5" s="6" t="s">
        <v>13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/>
      <c r="E6" s="10"/>
      <c r="F6" s="10"/>
      <c r="G6" s="9"/>
      <c r="H6" s="9"/>
      <c r="I6" s="9"/>
      <c r="J6" s="9"/>
      <c r="K6" s="9"/>
      <c r="L6" s="10"/>
      <c r="M6" s="10"/>
      <c r="N6" s="9"/>
      <c r="O6" s="9"/>
      <c r="P6" s="9"/>
      <c r="Q6" s="9"/>
      <c r="R6" s="9"/>
      <c r="S6" s="10"/>
      <c r="T6" s="10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9"/>
      <c r="AG6" s="10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0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10"/>
      <c r="F7" s="10"/>
      <c r="G7" s="9"/>
      <c r="H7" s="9"/>
      <c r="I7" s="9"/>
      <c r="J7" s="9"/>
      <c r="K7" s="9"/>
      <c r="L7" s="10"/>
      <c r="M7" s="10"/>
      <c r="N7" s="9"/>
      <c r="O7" s="9"/>
      <c r="P7" s="9"/>
      <c r="Q7" s="9"/>
      <c r="R7" s="9"/>
      <c r="S7" s="10"/>
      <c r="T7" s="10"/>
      <c r="U7" s="9"/>
      <c r="V7" s="9"/>
      <c r="W7" s="9"/>
      <c r="X7" s="9"/>
      <c r="Y7" s="9"/>
      <c r="Z7" s="10"/>
      <c r="AA7" s="10"/>
      <c r="AB7" s="9"/>
      <c r="AC7" s="9"/>
      <c r="AD7" s="9"/>
      <c r="AE7" s="9"/>
      <c r="AF7" s="9"/>
      <c r="AG7" s="10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0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/>
      <c r="D8" s="9"/>
      <c r="E8" s="10"/>
      <c r="F8" s="10"/>
      <c r="G8" s="9"/>
      <c r="H8" s="9"/>
      <c r="I8" s="9"/>
      <c r="J8" s="9"/>
      <c r="K8" s="9"/>
      <c r="L8" s="10"/>
      <c r="M8" s="10"/>
      <c r="N8" s="9"/>
      <c r="O8" s="9"/>
      <c r="P8" s="9"/>
      <c r="Q8" s="9"/>
      <c r="R8" s="9"/>
      <c r="S8" s="10"/>
      <c r="T8" s="10"/>
      <c r="U8" s="9"/>
      <c r="V8" s="9"/>
      <c r="W8" s="9"/>
      <c r="X8" s="9"/>
      <c r="Y8" s="9"/>
      <c r="Z8" s="10"/>
      <c r="AA8" s="10"/>
      <c r="AB8" s="9"/>
      <c r="AC8" s="9"/>
      <c r="AD8" s="9"/>
      <c r="AE8" s="9"/>
      <c r="AF8" s="9"/>
      <c r="AG8" s="10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0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/>
      <c r="E9" s="10"/>
      <c r="F9" s="10"/>
      <c r="G9" s="9"/>
      <c r="H9" s="9"/>
      <c r="I9" s="9"/>
      <c r="J9" s="9"/>
      <c r="K9" s="9"/>
      <c r="L9" s="10"/>
      <c r="M9" s="10"/>
      <c r="N9" s="9"/>
      <c r="O9" s="9"/>
      <c r="P9" s="9"/>
      <c r="Q9" s="9"/>
      <c r="R9" s="9"/>
      <c r="S9" s="10"/>
      <c r="T9" s="10"/>
      <c r="U9" s="9"/>
      <c r="V9" s="9"/>
      <c r="W9" s="9"/>
      <c r="X9" s="9"/>
      <c r="Y9" s="9"/>
      <c r="Z9" s="10"/>
      <c r="AA9" s="10"/>
      <c r="AB9" s="9"/>
      <c r="AC9" s="9"/>
      <c r="AD9" s="9"/>
      <c r="AE9" s="9"/>
      <c r="AF9" s="9"/>
      <c r="AG9" s="10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0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10"/>
      <c r="F10" s="10"/>
      <c r="G10" s="9"/>
      <c r="H10" s="9"/>
      <c r="I10" s="9"/>
      <c r="J10" s="9"/>
      <c r="K10" s="9"/>
      <c r="L10" s="10"/>
      <c r="M10" s="10"/>
      <c r="N10" s="9"/>
      <c r="O10" s="9"/>
      <c r="P10" s="9"/>
      <c r="Q10" s="9"/>
      <c r="R10" s="9"/>
      <c r="S10" s="10"/>
      <c r="T10" s="10"/>
      <c r="U10" s="9"/>
      <c r="V10" s="9"/>
      <c r="W10" s="9"/>
      <c r="X10" s="9"/>
      <c r="Y10" s="9"/>
      <c r="Z10" s="10"/>
      <c r="AA10" s="10"/>
      <c r="AB10" s="9"/>
      <c r="AC10" s="9"/>
      <c r="AD10" s="9"/>
      <c r="AE10" s="9"/>
      <c r="AF10" s="9"/>
      <c r="AG10" s="10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0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/>
      <c r="D11" s="9"/>
      <c r="E11" s="10"/>
      <c r="F11" s="10"/>
      <c r="G11" s="9"/>
      <c r="H11" s="9"/>
      <c r="I11" s="9"/>
      <c r="J11" s="9"/>
      <c r="K11" s="9"/>
      <c r="L11" s="10"/>
      <c r="M11" s="10"/>
      <c r="N11" s="9"/>
      <c r="O11" s="9"/>
      <c r="P11" s="9"/>
      <c r="Q11" s="9"/>
      <c r="R11" s="9"/>
      <c r="S11" s="10"/>
      <c r="T11" s="10"/>
      <c r="U11" s="9"/>
      <c r="V11" s="9"/>
      <c r="W11" s="9"/>
      <c r="X11" s="9"/>
      <c r="Y11" s="9"/>
      <c r="Z11" s="10"/>
      <c r="AA11" s="10"/>
      <c r="AB11" s="9"/>
      <c r="AC11" s="9"/>
      <c r="AD11" s="9"/>
      <c r="AE11" s="9"/>
      <c r="AF11" s="9"/>
      <c r="AG11" s="10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0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10"/>
      <c r="F12" s="10"/>
      <c r="G12" s="9"/>
      <c r="H12" s="9"/>
      <c r="I12" s="9"/>
      <c r="J12" s="9"/>
      <c r="K12" s="9"/>
      <c r="L12" s="10"/>
      <c r="M12" s="10"/>
      <c r="N12" s="9"/>
      <c r="O12" s="9"/>
      <c r="P12" s="9"/>
      <c r="Q12" s="9"/>
      <c r="R12" s="9"/>
      <c r="S12" s="10"/>
      <c r="T12" s="10"/>
      <c r="U12" s="9"/>
      <c r="V12" s="9"/>
      <c r="W12" s="9"/>
      <c r="X12" s="9"/>
      <c r="Y12" s="9"/>
      <c r="Z12" s="10"/>
      <c r="AA12" s="10"/>
      <c r="AB12" s="9"/>
      <c r="AC12" s="9"/>
      <c r="AD12" s="9"/>
      <c r="AE12" s="9"/>
      <c r="AF12" s="9"/>
      <c r="AG12" s="10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0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10"/>
      <c r="F13" s="10"/>
      <c r="G13" s="9"/>
      <c r="H13" s="9"/>
      <c r="I13" s="9"/>
      <c r="J13" s="9"/>
      <c r="K13" s="9"/>
      <c r="L13" s="10"/>
      <c r="M13" s="10"/>
      <c r="N13" s="9"/>
      <c r="O13" s="9"/>
      <c r="P13" s="9"/>
      <c r="Q13" s="9"/>
      <c r="R13" s="9"/>
      <c r="S13" s="10"/>
      <c r="T13" s="10"/>
      <c r="U13" s="9"/>
      <c r="V13" s="9"/>
      <c r="W13" s="9"/>
      <c r="X13" s="9"/>
      <c r="Y13" s="9"/>
      <c r="Z13" s="10"/>
      <c r="AA13" s="10"/>
      <c r="AB13" s="9"/>
      <c r="AC13" s="9"/>
      <c r="AD13" s="9"/>
      <c r="AE13" s="9"/>
      <c r="AF13" s="9"/>
      <c r="AG13" s="10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0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/>
      <c r="D14" s="9"/>
      <c r="E14" s="10"/>
      <c r="F14" s="10"/>
      <c r="G14" s="9"/>
      <c r="H14" s="9"/>
      <c r="I14" s="9"/>
      <c r="J14" s="9"/>
      <c r="K14" s="9"/>
      <c r="L14" s="10"/>
      <c r="M14" s="10"/>
      <c r="N14" s="9"/>
      <c r="O14" s="9"/>
      <c r="P14" s="9"/>
      <c r="Q14" s="9"/>
      <c r="R14" s="9"/>
      <c r="S14" s="10"/>
      <c r="T14" s="10"/>
      <c r="U14" s="9"/>
      <c r="V14" s="9"/>
      <c r="W14" s="9"/>
      <c r="X14" s="9"/>
      <c r="Y14" s="9"/>
      <c r="Z14" s="10"/>
      <c r="AA14" s="10"/>
      <c r="AB14" s="9"/>
      <c r="AC14" s="9"/>
      <c r="AD14" s="9"/>
      <c r="AE14" s="9"/>
      <c r="AF14" s="9"/>
      <c r="AG14" s="10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0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/>
      <c r="E15" s="10"/>
      <c r="F15" s="10"/>
      <c r="G15" s="9"/>
      <c r="H15" s="9"/>
      <c r="I15" s="9"/>
      <c r="J15" s="9"/>
      <c r="K15" s="9"/>
      <c r="L15" s="10"/>
      <c r="M15" s="10"/>
      <c r="N15" s="9"/>
      <c r="O15" s="9"/>
      <c r="P15" s="9"/>
      <c r="Q15" s="9"/>
      <c r="R15" s="9"/>
      <c r="S15" s="10"/>
      <c r="T15" s="10"/>
      <c r="U15" s="9"/>
      <c r="V15" s="9"/>
      <c r="W15" s="9"/>
      <c r="X15" s="9"/>
      <c r="Y15" s="9"/>
      <c r="Z15" s="10"/>
      <c r="AA15" s="10"/>
      <c r="AB15" s="9"/>
      <c r="AC15" s="9"/>
      <c r="AD15" s="9"/>
      <c r="AE15" s="9"/>
      <c r="AF15" s="9"/>
      <c r="AG15" s="10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0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10"/>
      <c r="F16" s="10"/>
      <c r="G16" s="9"/>
      <c r="H16" s="9"/>
      <c r="I16" s="9"/>
      <c r="J16" s="9"/>
      <c r="K16" s="9"/>
      <c r="L16" s="10"/>
      <c r="M16" s="10"/>
      <c r="N16" s="9"/>
      <c r="O16" s="9"/>
      <c r="P16" s="9"/>
      <c r="Q16" s="9"/>
      <c r="R16" s="9"/>
      <c r="S16" s="10"/>
      <c r="T16" s="10"/>
      <c r="U16" s="9"/>
      <c r="V16" s="9"/>
      <c r="W16" s="9"/>
      <c r="X16" s="9"/>
      <c r="Y16" s="9"/>
      <c r="Z16" s="10"/>
      <c r="AA16" s="10"/>
      <c r="AB16" s="9"/>
      <c r="AC16" s="9"/>
      <c r="AD16" s="9"/>
      <c r="AE16" s="9"/>
      <c r="AF16" s="9"/>
      <c r="AG16" s="10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0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/>
      <c r="D17" s="9"/>
      <c r="E17" s="10"/>
      <c r="F17" s="10"/>
      <c r="G17" s="9"/>
      <c r="H17" s="9"/>
      <c r="I17" s="9"/>
      <c r="J17" s="9"/>
      <c r="K17" s="9"/>
      <c r="L17" s="10"/>
      <c r="M17" s="10"/>
      <c r="N17" s="9"/>
      <c r="O17" s="9"/>
      <c r="P17" s="9"/>
      <c r="Q17" s="9"/>
      <c r="R17" s="9"/>
      <c r="S17" s="10"/>
      <c r="T17" s="10"/>
      <c r="U17" s="9"/>
      <c r="V17" s="9"/>
      <c r="W17" s="9"/>
      <c r="X17" s="9"/>
      <c r="Y17" s="9"/>
      <c r="Z17" s="10"/>
      <c r="AA17" s="10"/>
      <c r="AB17" s="9"/>
      <c r="AC17" s="9"/>
      <c r="AD17" s="9"/>
      <c r="AE17" s="9"/>
      <c r="AF17" s="9"/>
      <c r="AG17" s="10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0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10"/>
      <c r="F18" s="10"/>
      <c r="G18" s="9"/>
      <c r="H18" s="9"/>
      <c r="I18" s="9"/>
      <c r="J18" s="9"/>
      <c r="K18" s="9"/>
      <c r="L18" s="10"/>
      <c r="M18" s="10"/>
      <c r="N18" s="9"/>
      <c r="O18" s="9"/>
      <c r="P18" s="9"/>
      <c r="Q18" s="9"/>
      <c r="R18" s="9"/>
      <c r="S18" s="10"/>
      <c r="T18" s="10"/>
      <c r="U18" s="9"/>
      <c r="V18" s="9"/>
      <c r="W18" s="9"/>
      <c r="X18" s="9"/>
      <c r="Y18" s="9"/>
      <c r="Z18" s="10"/>
      <c r="AA18" s="10"/>
      <c r="AB18" s="9"/>
      <c r="AC18" s="9"/>
      <c r="AD18" s="9"/>
      <c r="AE18" s="9"/>
      <c r="AF18" s="9"/>
      <c r="AG18" s="10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0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10"/>
      <c r="F19" s="10"/>
      <c r="G19" s="9"/>
      <c r="H19" s="9"/>
      <c r="I19" s="9"/>
      <c r="J19" s="9"/>
      <c r="K19" s="9"/>
      <c r="L19" s="10"/>
      <c r="M19" s="10"/>
      <c r="N19" s="9"/>
      <c r="O19" s="9"/>
      <c r="P19" s="9"/>
      <c r="Q19" s="9"/>
      <c r="R19" s="9"/>
      <c r="S19" s="10"/>
      <c r="T19" s="10"/>
      <c r="U19" s="9"/>
      <c r="V19" s="9"/>
      <c r="W19" s="9"/>
      <c r="X19" s="9"/>
      <c r="Y19" s="9"/>
      <c r="Z19" s="10"/>
      <c r="AA19" s="10"/>
      <c r="AB19" s="9"/>
      <c r="AC19" s="9"/>
      <c r="AD19" s="9"/>
      <c r="AE19" s="9"/>
      <c r="AF19" s="9"/>
      <c r="AG19" s="10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0</v>
      </c>
    </row>
    <row r="20" customFormat="false" ht="19.5" hidden="false" customHeight="true" outlineLevel="0" collapsed="false">
      <c r="B20" s="8" t="s">
        <v>79</v>
      </c>
      <c r="C20" s="9"/>
      <c r="D20" s="9"/>
      <c r="E20" s="10"/>
      <c r="F20" s="10"/>
      <c r="G20" s="9"/>
      <c r="H20" s="9"/>
      <c r="I20" s="9"/>
      <c r="J20" s="9"/>
      <c r="K20" s="9"/>
      <c r="L20" s="10"/>
      <c r="M20" s="10"/>
      <c r="N20" s="9"/>
      <c r="O20" s="9"/>
      <c r="P20" s="9"/>
      <c r="Q20" s="9"/>
      <c r="R20" s="9"/>
      <c r="S20" s="10"/>
      <c r="T20" s="10"/>
      <c r="U20" s="9"/>
      <c r="V20" s="9"/>
      <c r="W20" s="9"/>
      <c r="X20" s="9"/>
      <c r="Y20" s="9"/>
      <c r="Z20" s="10"/>
      <c r="AA20" s="10"/>
      <c r="AB20" s="9"/>
      <c r="AC20" s="9"/>
      <c r="AD20" s="9"/>
      <c r="AE20" s="9"/>
      <c r="AF20" s="9"/>
      <c r="AG20" s="10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0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10"/>
      <c r="F21" s="10"/>
      <c r="G21" s="9"/>
      <c r="H21" s="9"/>
      <c r="I21" s="9"/>
      <c r="J21" s="9"/>
      <c r="K21" s="9"/>
      <c r="L21" s="10"/>
      <c r="M21" s="10"/>
      <c r="N21" s="9"/>
      <c r="O21" s="9"/>
      <c r="P21" s="9"/>
      <c r="Q21" s="9"/>
      <c r="R21" s="9"/>
      <c r="S21" s="10"/>
      <c r="T21" s="10"/>
      <c r="U21" s="9"/>
      <c r="V21" s="9"/>
      <c r="W21" s="9"/>
      <c r="X21" s="9"/>
      <c r="Y21" s="9"/>
      <c r="Z21" s="10"/>
      <c r="AA21" s="10"/>
      <c r="AB21" s="9"/>
      <c r="AC21" s="9"/>
      <c r="AD21" s="9"/>
      <c r="AE21" s="9"/>
      <c r="AF21" s="9"/>
      <c r="AG21" s="10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10"/>
      <c r="F22" s="10"/>
      <c r="G22" s="9"/>
      <c r="H22" s="9"/>
      <c r="I22" s="9"/>
      <c r="J22" s="9"/>
      <c r="K22" s="9"/>
      <c r="L22" s="10"/>
      <c r="M22" s="10"/>
      <c r="N22" s="9"/>
      <c r="O22" s="9"/>
      <c r="P22" s="9"/>
      <c r="Q22" s="9"/>
      <c r="R22" s="9"/>
      <c r="S22" s="10"/>
      <c r="T22" s="10"/>
      <c r="U22" s="9"/>
      <c r="V22" s="9"/>
      <c r="W22" s="9"/>
      <c r="X22" s="9"/>
      <c r="Y22" s="9"/>
      <c r="Z22" s="10"/>
      <c r="AA22" s="10"/>
      <c r="AB22" s="9"/>
      <c r="AC22" s="9"/>
      <c r="AD22" s="9"/>
      <c r="AE22" s="9"/>
      <c r="AF22" s="9"/>
      <c r="AG22" s="10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10"/>
      <c r="F23" s="10"/>
      <c r="G23" s="9"/>
      <c r="H23" s="9"/>
      <c r="I23" s="9"/>
      <c r="J23" s="9"/>
      <c r="K23" s="9"/>
      <c r="L23" s="10"/>
      <c r="M23" s="10"/>
      <c r="N23" s="9"/>
      <c r="O23" s="9"/>
      <c r="P23" s="9"/>
      <c r="Q23" s="9"/>
      <c r="R23" s="9"/>
      <c r="S23" s="10"/>
      <c r="T23" s="10"/>
      <c r="U23" s="9"/>
      <c r="V23" s="9"/>
      <c r="W23" s="9"/>
      <c r="X23" s="9"/>
      <c r="Y23" s="9"/>
      <c r="Z23" s="10"/>
      <c r="AA23" s="10"/>
      <c r="AB23" s="9"/>
      <c r="AC23" s="9"/>
      <c r="AD23" s="9"/>
      <c r="AE23" s="9"/>
      <c r="AF23" s="9"/>
      <c r="AG23" s="10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10"/>
      <c r="F24" s="10"/>
      <c r="G24" s="9"/>
      <c r="H24" s="9"/>
      <c r="I24" s="9"/>
      <c r="J24" s="9"/>
      <c r="K24" s="9"/>
      <c r="L24" s="10"/>
      <c r="M24" s="10"/>
      <c r="N24" s="9"/>
      <c r="O24" s="9"/>
      <c r="P24" s="9"/>
      <c r="Q24" s="9"/>
      <c r="R24" s="9"/>
      <c r="S24" s="10"/>
      <c r="T24" s="10"/>
      <c r="U24" s="9"/>
      <c r="V24" s="9"/>
      <c r="W24" s="9"/>
      <c r="X24" s="9"/>
      <c r="Y24" s="9"/>
      <c r="Z24" s="10"/>
      <c r="AA24" s="10"/>
      <c r="AB24" s="9"/>
      <c r="AC24" s="9"/>
      <c r="AD24" s="9"/>
      <c r="AE24" s="9"/>
      <c r="AF24" s="9"/>
      <c r="AG24" s="10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10"/>
      <c r="F25" s="10"/>
      <c r="G25" s="9"/>
      <c r="H25" s="9"/>
      <c r="I25" s="9"/>
      <c r="J25" s="9"/>
      <c r="K25" s="9"/>
      <c r="L25" s="10"/>
      <c r="M25" s="10"/>
      <c r="N25" s="9"/>
      <c r="O25" s="9"/>
      <c r="P25" s="9"/>
      <c r="Q25" s="9"/>
      <c r="R25" s="9"/>
      <c r="S25" s="10"/>
      <c r="T25" s="10"/>
      <c r="U25" s="9"/>
      <c r="V25" s="9"/>
      <c r="W25" s="9"/>
      <c r="X25" s="9"/>
      <c r="Y25" s="9"/>
      <c r="Z25" s="10"/>
      <c r="AA25" s="10"/>
      <c r="AB25" s="9"/>
      <c r="AC25" s="9"/>
      <c r="AD25" s="9"/>
      <c r="AE25" s="9"/>
      <c r="AF25" s="9"/>
      <c r="AG25" s="10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10"/>
      <c r="F26" s="10"/>
      <c r="G26" s="9"/>
      <c r="H26" s="9"/>
      <c r="I26" s="9"/>
      <c r="J26" s="9"/>
      <c r="K26" s="9"/>
      <c r="L26" s="10"/>
      <c r="M26" s="10"/>
      <c r="N26" s="9"/>
      <c r="O26" s="9"/>
      <c r="P26" s="9"/>
      <c r="Q26" s="9"/>
      <c r="R26" s="9"/>
      <c r="S26" s="10"/>
      <c r="T26" s="10"/>
      <c r="U26" s="9"/>
      <c r="V26" s="9"/>
      <c r="W26" s="9"/>
      <c r="X26" s="9"/>
      <c r="Y26" s="9"/>
      <c r="Z26" s="10"/>
      <c r="AA26" s="10"/>
      <c r="AB26" s="9"/>
      <c r="AC26" s="9"/>
      <c r="AD26" s="9"/>
      <c r="AE26" s="9"/>
      <c r="AF26" s="9"/>
      <c r="AG26" s="10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10"/>
      <c r="F27" s="10"/>
      <c r="G27" s="9"/>
      <c r="H27" s="9"/>
      <c r="I27" s="9"/>
      <c r="J27" s="9"/>
      <c r="K27" s="9"/>
      <c r="L27" s="10"/>
      <c r="M27" s="10"/>
      <c r="N27" s="9"/>
      <c r="O27" s="9"/>
      <c r="P27" s="9"/>
      <c r="Q27" s="9"/>
      <c r="R27" s="9"/>
      <c r="S27" s="10"/>
      <c r="T27" s="10"/>
      <c r="U27" s="9"/>
      <c r="V27" s="9"/>
      <c r="W27" s="9"/>
      <c r="X27" s="9"/>
      <c r="Y27" s="9"/>
      <c r="Z27" s="10"/>
      <c r="AA27" s="10"/>
      <c r="AB27" s="9"/>
      <c r="AC27" s="9"/>
      <c r="AD27" s="9"/>
      <c r="AE27" s="9"/>
      <c r="AF27" s="9"/>
      <c r="AG27" s="10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10"/>
      <c r="F28" s="10"/>
      <c r="G28" s="9"/>
      <c r="H28" s="9"/>
      <c r="I28" s="9"/>
      <c r="J28" s="9"/>
      <c r="K28" s="9"/>
      <c r="L28" s="10"/>
      <c r="M28" s="10"/>
      <c r="N28" s="9"/>
      <c r="O28" s="9"/>
      <c r="P28" s="9"/>
      <c r="Q28" s="9"/>
      <c r="R28" s="9"/>
      <c r="S28" s="10"/>
      <c r="T28" s="10"/>
      <c r="U28" s="9"/>
      <c r="V28" s="9"/>
      <c r="W28" s="9"/>
      <c r="X28" s="9"/>
      <c r="Y28" s="9"/>
      <c r="Z28" s="10"/>
      <c r="AA28" s="10"/>
      <c r="AB28" s="9"/>
      <c r="AC28" s="9"/>
      <c r="AD28" s="9"/>
      <c r="AE28" s="9"/>
      <c r="AF28" s="9"/>
      <c r="AG28" s="10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10"/>
      <c r="F29" s="10"/>
      <c r="G29" s="9"/>
      <c r="H29" s="9"/>
      <c r="I29" s="9"/>
      <c r="J29" s="9"/>
      <c r="K29" s="9"/>
      <c r="L29" s="10"/>
      <c r="M29" s="10"/>
      <c r="N29" s="9"/>
      <c r="O29" s="9"/>
      <c r="P29" s="9"/>
      <c r="Q29" s="9"/>
      <c r="R29" s="9"/>
      <c r="S29" s="10"/>
      <c r="T29" s="10"/>
      <c r="U29" s="9"/>
      <c r="V29" s="9"/>
      <c r="W29" s="9"/>
      <c r="X29" s="9"/>
      <c r="Y29" s="9"/>
      <c r="Z29" s="10"/>
      <c r="AA29" s="10"/>
      <c r="AB29" s="9"/>
      <c r="AC29" s="9"/>
      <c r="AD29" s="9"/>
      <c r="AE29" s="9"/>
      <c r="AF29" s="9"/>
      <c r="AG29" s="10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10"/>
      <c r="F30" s="10"/>
      <c r="G30" s="9"/>
      <c r="H30" s="9"/>
      <c r="I30" s="9"/>
      <c r="J30" s="9"/>
      <c r="K30" s="9"/>
      <c r="L30" s="10"/>
      <c r="M30" s="10"/>
      <c r="N30" s="9"/>
      <c r="O30" s="9"/>
      <c r="P30" s="9"/>
      <c r="Q30" s="9"/>
      <c r="R30" s="9"/>
      <c r="S30" s="10"/>
      <c r="T30" s="10"/>
      <c r="U30" s="9"/>
      <c r="V30" s="9"/>
      <c r="W30" s="9"/>
      <c r="X30" s="9"/>
      <c r="Y30" s="9"/>
      <c r="Z30" s="10"/>
      <c r="AA30" s="10"/>
      <c r="AB30" s="9"/>
      <c r="AC30" s="9"/>
      <c r="AD30" s="9"/>
      <c r="AE30" s="9"/>
      <c r="AF30" s="9"/>
      <c r="AG30" s="10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10"/>
      <c r="F31" s="10"/>
      <c r="G31" s="9"/>
      <c r="H31" s="9"/>
      <c r="I31" s="9"/>
      <c r="J31" s="9"/>
      <c r="K31" s="9"/>
      <c r="L31" s="10"/>
      <c r="M31" s="10"/>
      <c r="N31" s="9"/>
      <c r="O31" s="9"/>
      <c r="P31" s="9"/>
      <c r="Q31" s="9"/>
      <c r="R31" s="9"/>
      <c r="S31" s="10"/>
      <c r="T31" s="10"/>
      <c r="U31" s="9"/>
      <c r="V31" s="9"/>
      <c r="W31" s="9"/>
      <c r="X31" s="9"/>
      <c r="Y31" s="9"/>
      <c r="Z31" s="10"/>
      <c r="AA31" s="10"/>
      <c r="AB31" s="9"/>
      <c r="AC31" s="9"/>
      <c r="AD31" s="9"/>
      <c r="AE31" s="9"/>
      <c r="AF31" s="9"/>
      <c r="AG31" s="10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10"/>
      <c r="F32" s="10"/>
      <c r="G32" s="9"/>
      <c r="H32" s="9"/>
      <c r="I32" s="9"/>
      <c r="J32" s="9"/>
      <c r="K32" s="9"/>
      <c r="L32" s="10"/>
      <c r="M32" s="10"/>
      <c r="N32" s="9"/>
      <c r="O32" s="9"/>
      <c r="P32" s="9"/>
      <c r="Q32" s="9"/>
      <c r="R32" s="9"/>
      <c r="S32" s="10"/>
      <c r="T32" s="10"/>
      <c r="U32" s="9"/>
      <c r="V32" s="9"/>
      <c r="W32" s="9"/>
      <c r="X32" s="9"/>
      <c r="Y32" s="9"/>
      <c r="Z32" s="10"/>
      <c r="AA32" s="10"/>
      <c r="AB32" s="9"/>
      <c r="AC32" s="9"/>
      <c r="AD32" s="9"/>
      <c r="AE32" s="9"/>
      <c r="AF32" s="9"/>
      <c r="AG32" s="10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10"/>
      <c r="F33" s="10"/>
      <c r="G33" s="9"/>
      <c r="H33" s="9"/>
      <c r="I33" s="9"/>
      <c r="J33" s="9"/>
      <c r="K33" s="9"/>
      <c r="L33" s="10"/>
      <c r="M33" s="10"/>
      <c r="N33" s="9"/>
      <c r="O33" s="9"/>
      <c r="P33" s="9"/>
      <c r="Q33" s="9"/>
      <c r="R33" s="9"/>
      <c r="S33" s="10"/>
      <c r="T33" s="10"/>
      <c r="U33" s="9"/>
      <c r="V33" s="9"/>
      <c r="W33" s="9"/>
      <c r="X33" s="9"/>
      <c r="Y33" s="9"/>
      <c r="Z33" s="10"/>
      <c r="AA33" s="10"/>
      <c r="AB33" s="9"/>
      <c r="AC33" s="9"/>
      <c r="AD33" s="9"/>
      <c r="AE33" s="9"/>
      <c r="AF33" s="9"/>
      <c r="AG33" s="10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10"/>
      <c r="F34" s="10"/>
      <c r="G34" s="9"/>
      <c r="H34" s="9"/>
      <c r="I34" s="9"/>
      <c r="J34" s="9"/>
      <c r="K34" s="9"/>
      <c r="L34" s="10"/>
      <c r="M34" s="10"/>
      <c r="N34" s="9"/>
      <c r="O34" s="9"/>
      <c r="P34" s="9"/>
      <c r="Q34" s="9"/>
      <c r="R34" s="9"/>
      <c r="S34" s="10"/>
      <c r="T34" s="10"/>
      <c r="U34" s="9"/>
      <c r="V34" s="9"/>
      <c r="W34" s="9"/>
      <c r="X34" s="9"/>
      <c r="Y34" s="9"/>
      <c r="Z34" s="10"/>
      <c r="AA34" s="10"/>
      <c r="AB34" s="9"/>
      <c r="AC34" s="9"/>
      <c r="AD34" s="9"/>
      <c r="AE34" s="9"/>
      <c r="AF34" s="9"/>
      <c r="AG34" s="10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10"/>
      <c r="F35" s="10"/>
      <c r="G35" s="9"/>
      <c r="H35" s="9"/>
      <c r="I35" s="9"/>
      <c r="J35" s="9"/>
      <c r="K35" s="9"/>
      <c r="L35" s="10"/>
      <c r="M35" s="10"/>
      <c r="N35" s="9"/>
      <c r="O35" s="9"/>
      <c r="P35" s="9"/>
      <c r="Q35" s="9"/>
      <c r="R35" s="9"/>
      <c r="S35" s="10"/>
      <c r="T35" s="10"/>
      <c r="U35" s="9"/>
      <c r="V35" s="9"/>
      <c r="W35" s="9"/>
      <c r="X35" s="9"/>
      <c r="Y35" s="9"/>
      <c r="Z35" s="10"/>
      <c r="AA35" s="10"/>
      <c r="AB35" s="9"/>
      <c r="AC35" s="9"/>
      <c r="AD35" s="9"/>
      <c r="AE35" s="9"/>
      <c r="AF35" s="9"/>
      <c r="AG35" s="10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10"/>
      <c r="F36" s="10"/>
      <c r="G36" s="9"/>
      <c r="H36" s="9"/>
      <c r="I36" s="9"/>
      <c r="J36" s="9"/>
      <c r="K36" s="9"/>
      <c r="L36" s="10"/>
      <c r="M36" s="10"/>
      <c r="N36" s="9"/>
      <c r="O36" s="9"/>
      <c r="P36" s="9"/>
      <c r="Q36" s="9"/>
      <c r="R36" s="9"/>
      <c r="S36" s="10"/>
      <c r="T36" s="10"/>
      <c r="U36" s="9"/>
      <c r="V36" s="9"/>
      <c r="W36" s="9"/>
      <c r="X36" s="9"/>
      <c r="Y36" s="9"/>
      <c r="Z36" s="10"/>
      <c r="AA36" s="10"/>
      <c r="AB36" s="9"/>
      <c r="AC36" s="9"/>
      <c r="AD36" s="9"/>
      <c r="AE36" s="9"/>
      <c r="AF36" s="9"/>
      <c r="AG36" s="10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10"/>
      <c r="F37" s="10"/>
      <c r="G37" s="9"/>
      <c r="H37" s="9"/>
      <c r="I37" s="9"/>
      <c r="J37" s="9"/>
      <c r="K37" s="9"/>
      <c r="L37" s="10"/>
      <c r="M37" s="10"/>
      <c r="N37" s="9"/>
      <c r="O37" s="9"/>
      <c r="P37" s="9"/>
      <c r="Q37" s="9"/>
      <c r="R37" s="9"/>
      <c r="S37" s="10"/>
      <c r="T37" s="10"/>
      <c r="U37" s="9"/>
      <c r="V37" s="9"/>
      <c r="W37" s="9"/>
      <c r="X37" s="9"/>
      <c r="Y37" s="9"/>
      <c r="Z37" s="10"/>
      <c r="AA37" s="10"/>
      <c r="AB37" s="9"/>
      <c r="AC37" s="9"/>
      <c r="AD37" s="9"/>
      <c r="AE37" s="9"/>
      <c r="AF37" s="9"/>
      <c r="AG37" s="10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10"/>
      <c r="F38" s="10"/>
      <c r="G38" s="9"/>
      <c r="H38" s="9"/>
      <c r="I38" s="9"/>
      <c r="J38" s="9"/>
      <c r="K38" s="9"/>
      <c r="L38" s="10"/>
      <c r="M38" s="10"/>
      <c r="N38" s="9"/>
      <c r="O38" s="9"/>
      <c r="P38" s="9"/>
      <c r="Q38" s="9"/>
      <c r="R38" s="9"/>
      <c r="S38" s="10"/>
      <c r="T38" s="10"/>
      <c r="U38" s="9"/>
      <c r="V38" s="9"/>
      <c r="W38" s="9"/>
      <c r="X38" s="9"/>
      <c r="Y38" s="9"/>
      <c r="Z38" s="10"/>
      <c r="AA38" s="10"/>
      <c r="AB38" s="9"/>
      <c r="AC38" s="9"/>
      <c r="AD38" s="9"/>
      <c r="AE38" s="9"/>
      <c r="AF38" s="9"/>
      <c r="AG38" s="10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10"/>
      <c r="F39" s="10"/>
      <c r="G39" s="9"/>
      <c r="H39" s="9"/>
      <c r="I39" s="9"/>
      <c r="J39" s="9"/>
      <c r="K39" s="9"/>
      <c r="L39" s="10"/>
      <c r="M39" s="10"/>
      <c r="N39" s="9"/>
      <c r="O39" s="9"/>
      <c r="P39" s="9"/>
      <c r="Q39" s="9"/>
      <c r="R39" s="9"/>
      <c r="S39" s="10"/>
      <c r="T39" s="10"/>
      <c r="U39" s="9"/>
      <c r="V39" s="9"/>
      <c r="W39" s="9"/>
      <c r="X39" s="9"/>
      <c r="Y39" s="9"/>
      <c r="Z39" s="10"/>
      <c r="AA39" s="10"/>
      <c r="AB39" s="9"/>
      <c r="AC39" s="9"/>
      <c r="AD39" s="9"/>
      <c r="AE39" s="9"/>
      <c r="AF39" s="9"/>
      <c r="AG39" s="10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10"/>
      <c r="F40" s="10"/>
      <c r="G40" s="9"/>
      <c r="H40" s="9"/>
      <c r="I40" s="9"/>
      <c r="J40" s="9"/>
      <c r="K40" s="9"/>
      <c r="L40" s="10"/>
      <c r="M40" s="10"/>
      <c r="N40" s="9"/>
      <c r="O40" s="9"/>
      <c r="P40" s="9"/>
      <c r="Q40" s="9"/>
      <c r="R40" s="9"/>
      <c r="S40" s="10"/>
      <c r="T40" s="10"/>
      <c r="U40" s="9"/>
      <c r="V40" s="9"/>
      <c r="W40" s="9"/>
      <c r="X40" s="9"/>
      <c r="Y40" s="9"/>
      <c r="Z40" s="10"/>
      <c r="AA40" s="10"/>
      <c r="AB40" s="9"/>
      <c r="AC40" s="9"/>
      <c r="AD40" s="9"/>
      <c r="AE40" s="9"/>
      <c r="AF40" s="9"/>
      <c r="AG40" s="10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10"/>
      <c r="F41" s="10"/>
      <c r="G41" s="9"/>
      <c r="H41" s="9"/>
      <c r="I41" s="9"/>
      <c r="J41" s="9"/>
      <c r="K41" s="9"/>
      <c r="L41" s="10"/>
      <c r="M41" s="10"/>
      <c r="N41" s="9"/>
      <c r="O41" s="9"/>
      <c r="P41" s="9"/>
      <c r="Q41" s="9"/>
      <c r="R41" s="9"/>
      <c r="S41" s="10"/>
      <c r="T41" s="10"/>
      <c r="U41" s="9"/>
      <c r="V41" s="9"/>
      <c r="W41" s="9"/>
      <c r="X41" s="9"/>
      <c r="Y41" s="9"/>
      <c r="Z41" s="10"/>
      <c r="AA41" s="10"/>
      <c r="AB41" s="9"/>
      <c r="AC41" s="9"/>
      <c r="AD41" s="9"/>
      <c r="AE41" s="9"/>
      <c r="AF41" s="9"/>
      <c r="AG41" s="10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10"/>
      <c r="F42" s="10"/>
      <c r="G42" s="9"/>
      <c r="H42" s="9"/>
      <c r="I42" s="9"/>
      <c r="J42" s="9"/>
      <c r="K42" s="9"/>
      <c r="L42" s="10"/>
      <c r="M42" s="10"/>
      <c r="N42" s="9"/>
      <c r="O42" s="9"/>
      <c r="P42" s="9"/>
      <c r="Q42" s="9"/>
      <c r="R42" s="9"/>
      <c r="S42" s="10"/>
      <c r="T42" s="10"/>
      <c r="U42" s="9"/>
      <c r="V42" s="9"/>
      <c r="W42" s="9"/>
      <c r="X42" s="9"/>
      <c r="Y42" s="9"/>
      <c r="Z42" s="10"/>
      <c r="AA42" s="10"/>
      <c r="AB42" s="9"/>
      <c r="AC42" s="9"/>
      <c r="AD42" s="9"/>
      <c r="AE42" s="9"/>
      <c r="AF42" s="9"/>
      <c r="AG42" s="10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10"/>
      <c r="F43" s="10"/>
      <c r="G43" s="9"/>
      <c r="H43" s="9"/>
      <c r="I43" s="9"/>
      <c r="J43" s="9"/>
      <c r="K43" s="9"/>
      <c r="L43" s="10"/>
      <c r="M43" s="10"/>
      <c r="N43" s="9"/>
      <c r="O43" s="9"/>
      <c r="P43" s="9"/>
      <c r="Q43" s="9"/>
      <c r="R43" s="9"/>
      <c r="S43" s="10"/>
      <c r="T43" s="10"/>
      <c r="U43" s="9"/>
      <c r="V43" s="9"/>
      <c r="W43" s="9"/>
      <c r="X43" s="9"/>
      <c r="Y43" s="9"/>
      <c r="Z43" s="10"/>
      <c r="AA43" s="10"/>
      <c r="AB43" s="9"/>
      <c r="AC43" s="9"/>
      <c r="AD43" s="9"/>
      <c r="AE43" s="9"/>
      <c r="AF43" s="9"/>
      <c r="AG43" s="10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10"/>
      <c r="F44" s="10"/>
      <c r="G44" s="9"/>
      <c r="H44" s="9"/>
      <c r="I44" s="9"/>
      <c r="J44" s="9"/>
      <c r="K44" s="9"/>
      <c r="L44" s="10"/>
      <c r="M44" s="10"/>
      <c r="N44" s="9"/>
      <c r="O44" s="9"/>
      <c r="P44" s="9"/>
      <c r="Q44" s="9"/>
      <c r="R44" s="9"/>
      <c r="S44" s="10"/>
      <c r="T44" s="10"/>
      <c r="U44" s="9"/>
      <c r="V44" s="9"/>
      <c r="W44" s="9"/>
      <c r="X44" s="9"/>
      <c r="Y44" s="9"/>
      <c r="Z44" s="10"/>
      <c r="AA44" s="10"/>
      <c r="AB44" s="9"/>
      <c r="AC44" s="9"/>
      <c r="AD44" s="9"/>
      <c r="AE44" s="9"/>
      <c r="AF44" s="9"/>
      <c r="AG44" s="10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10"/>
      <c r="F45" s="10"/>
      <c r="G45" s="9"/>
      <c r="H45" s="9"/>
      <c r="I45" s="9"/>
      <c r="J45" s="9"/>
      <c r="K45" s="9"/>
      <c r="L45" s="10"/>
      <c r="M45" s="10"/>
      <c r="N45" s="9"/>
      <c r="O45" s="9"/>
      <c r="P45" s="9"/>
      <c r="Q45" s="9"/>
      <c r="R45" s="9"/>
      <c r="S45" s="10"/>
      <c r="T45" s="10"/>
      <c r="U45" s="9"/>
      <c r="V45" s="9"/>
      <c r="W45" s="9"/>
      <c r="X45" s="9"/>
      <c r="Y45" s="9"/>
      <c r="Z45" s="10"/>
      <c r="AA45" s="10"/>
      <c r="AB45" s="9"/>
      <c r="AC45" s="9"/>
      <c r="AD45" s="9"/>
      <c r="AE45" s="9"/>
      <c r="AF45" s="9"/>
      <c r="AG45" s="10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10"/>
      <c r="F46" s="10"/>
      <c r="G46" s="9"/>
      <c r="H46" s="9"/>
      <c r="I46" s="9"/>
      <c r="J46" s="9"/>
      <c r="K46" s="9"/>
      <c r="L46" s="10"/>
      <c r="M46" s="10"/>
      <c r="N46" s="9"/>
      <c r="O46" s="9"/>
      <c r="P46" s="9"/>
      <c r="Q46" s="9"/>
      <c r="R46" s="9"/>
      <c r="S46" s="10"/>
      <c r="T46" s="10"/>
      <c r="U46" s="9"/>
      <c r="V46" s="9"/>
      <c r="W46" s="9"/>
      <c r="X46" s="9"/>
      <c r="Y46" s="9"/>
      <c r="Z46" s="10"/>
      <c r="AA46" s="10"/>
      <c r="AB46" s="9"/>
      <c r="AC46" s="9"/>
      <c r="AD46" s="9"/>
      <c r="AE46" s="9"/>
      <c r="AF46" s="9"/>
      <c r="AG46" s="10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10"/>
      <c r="F47" s="10"/>
      <c r="G47" s="9"/>
      <c r="H47" s="9"/>
      <c r="I47" s="9"/>
      <c r="J47" s="9"/>
      <c r="K47" s="9"/>
      <c r="L47" s="10"/>
      <c r="M47" s="10"/>
      <c r="N47" s="9"/>
      <c r="O47" s="9"/>
      <c r="P47" s="9"/>
      <c r="Q47" s="9"/>
      <c r="R47" s="9"/>
      <c r="S47" s="10"/>
      <c r="T47" s="10"/>
      <c r="U47" s="9"/>
      <c r="V47" s="9"/>
      <c r="W47" s="9"/>
      <c r="X47" s="9"/>
      <c r="Y47" s="9"/>
      <c r="Z47" s="10"/>
      <c r="AA47" s="10"/>
      <c r="AB47" s="9"/>
      <c r="AC47" s="9"/>
      <c r="AD47" s="9"/>
      <c r="AE47" s="9"/>
      <c r="AF47" s="9"/>
      <c r="AG47" s="10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10"/>
      <c r="F48" s="10"/>
      <c r="G48" s="9"/>
      <c r="H48" s="9"/>
      <c r="I48" s="9"/>
      <c r="J48" s="9"/>
      <c r="K48" s="9"/>
      <c r="L48" s="10"/>
      <c r="M48" s="10"/>
      <c r="N48" s="9"/>
      <c r="O48" s="9"/>
      <c r="P48" s="9"/>
      <c r="Q48" s="9"/>
      <c r="R48" s="9"/>
      <c r="S48" s="10"/>
      <c r="T48" s="10"/>
      <c r="U48" s="9"/>
      <c r="V48" s="9"/>
      <c r="W48" s="9"/>
      <c r="X48" s="9"/>
      <c r="Y48" s="9"/>
      <c r="Z48" s="10"/>
      <c r="AA48" s="10"/>
      <c r="AB48" s="9"/>
      <c r="AC48" s="9"/>
      <c r="AD48" s="9"/>
      <c r="AE48" s="9"/>
      <c r="AF48" s="9"/>
      <c r="AG48" s="10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10"/>
      <c r="F49" s="10"/>
      <c r="G49" s="9"/>
      <c r="H49" s="9"/>
      <c r="I49" s="9"/>
      <c r="J49" s="9"/>
      <c r="K49" s="9"/>
      <c r="L49" s="10"/>
      <c r="M49" s="10"/>
      <c r="N49" s="9"/>
      <c r="O49" s="9"/>
      <c r="P49" s="9"/>
      <c r="Q49" s="9"/>
      <c r="R49" s="9"/>
      <c r="S49" s="10"/>
      <c r="T49" s="10"/>
      <c r="U49" s="9"/>
      <c r="V49" s="9"/>
      <c r="W49" s="9"/>
      <c r="X49" s="9"/>
      <c r="Y49" s="9"/>
      <c r="Z49" s="10"/>
      <c r="AA49" s="10"/>
      <c r="AB49" s="9"/>
      <c r="AC49" s="9"/>
      <c r="AD49" s="9"/>
      <c r="AE49" s="9"/>
      <c r="AF49" s="9"/>
      <c r="AG49" s="10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10"/>
      <c r="F50" s="10"/>
      <c r="G50" s="9"/>
      <c r="H50" s="9"/>
      <c r="I50" s="9"/>
      <c r="J50" s="9"/>
      <c r="K50" s="9"/>
      <c r="L50" s="10"/>
      <c r="M50" s="10"/>
      <c r="N50" s="9"/>
      <c r="O50" s="9"/>
      <c r="P50" s="9"/>
      <c r="Q50" s="9"/>
      <c r="R50" s="9"/>
      <c r="S50" s="10"/>
      <c r="T50" s="10"/>
      <c r="U50" s="9"/>
      <c r="V50" s="9"/>
      <c r="W50" s="9"/>
      <c r="X50" s="9"/>
      <c r="Y50" s="9"/>
      <c r="Z50" s="10"/>
      <c r="AA50" s="10"/>
      <c r="AB50" s="9"/>
      <c r="AC50" s="9"/>
      <c r="AD50" s="9"/>
      <c r="AE50" s="9"/>
      <c r="AF50" s="9"/>
      <c r="AG50" s="10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10"/>
      <c r="F51" s="10"/>
      <c r="G51" s="9"/>
      <c r="H51" s="9"/>
      <c r="I51" s="9"/>
      <c r="J51" s="9"/>
      <c r="K51" s="9"/>
      <c r="L51" s="10"/>
      <c r="M51" s="10"/>
      <c r="N51" s="9"/>
      <c r="O51" s="9"/>
      <c r="P51" s="9"/>
      <c r="Q51" s="9"/>
      <c r="R51" s="9"/>
      <c r="S51" s="10"/>
      <c r="T51" s="10"/>
      <c r="U51" s="9"/>
      <c r="V51" s="9"/>
      <c r="W51" s="9"/>
      <c r="X51" s="9"/>
      <c r="Y51" s="9"/>
      <c r="Z51" s="10"/>
      <c r="AA51" s="10"/>
      <c r="AB51" s="9"/>
      <c r="AC51" s="9"/>
      <c r="AD51" s="9"/>
      <c r="AE51" s="9"/>
      <c r="AF51" s="9"/>
      <c r="AG51" s="10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10"/>
      <c r="F52" s="10"/>
      <c r="G52" s="9"/>
      <c r="H52" s="9"/>
      <c r="I52" s="9"/>
      <c r="J52" s="9"/>
      <c r="K52" s="9"/>
      <c r="L52" s="10"/>
      <c r="M52" s="10"/>
      <c r="N52" s="9"/>
      <c r="O52" s="9"/>
      <c r="P52" s="9"/>
      <c r="Q52" s="9"/>
      <c r="R52" s="9"/>
      <c r="S52" s="10"/>
      <c r="T52" s="10"/>
      <c r="U52" s="9"/>
      <c r="V52" s="9"/>
      <c r="W52" s="9"/>
      <c r="X52" s="9"/>
      <c r="Y52" s="9"/>
      <c r="Z52" s="10"/>
      <c r="AA52" s="10"/>
      <c r="AB52" s="9"/>
      <c r="AC52" s="9"/>
      <c r="AD52" s="9"/>
      <c r="AE52" s="9"/>
      <c r="AF52" s="9"/>
      <c r="AG52" s="10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10"/>
      <c r="F53" s="10"/>
      <c r="G53" s="9"/>
      <c r="H53" s="9"/>
      <c r="I53" s="9"/>
      <c r="J53" s="9"/>
      <c r="K53" s="9"/>
      <c r="L53" s="10"/>
      <c r="M53" s="10"/>
      <c r="N53" s="9"/>
      <c r="O53" s="9"/>
      <c r="P53" s="9"/>
      <c r="Q53" s="9"/>
      <c r="R53" s="9"/>
      <c r="S53" s="10"/>
      <c r="T53" s="10"/>
      <c r="U53" s="9"/>
      <c r="V53" s="9"/>
      <c r="W53" s="9"/>
      <c r="X53" s="9"/>
      <c r="Y53" s="9"/>
      <c r="Z53" s="10"/>
      <c r="AA53" s="10"/>
      <c r="AB53" s="9"/>
      <c r="AC53" s="9"/>
      <c r="AD53" s="9"/>
      <c r="AE53" s="9"/>
      <c r="AF53" s="9"/>
      <c r="AG53" s="10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10"/>
      <c r="F54" s="10"/>
      <c r="G54" s="9"/>
      <c r="H54" s="9"/>
      <c r="I54" s="9"/>
      <c r="J54" s="9"/>
      <c r="K54" s="9"/>
      <c r="L54" s="10"/>
      <c r="M54" s="10"/>
      <c r="N54" s="9"/>
      <c r="O54" s="9"/>
      <c r="P54" s="9"/>
      <c r="Q54" s="9"/>
      <c r="R54" s="9"/>
      <c r="S54" s="10"/>
      <c r="T54" s="10"/>
      <c r="U54" s="9"/>
      <c r="V54" s="9"/>
      <c r="W54" s="9"/>
      <c r="X54" s="9"/>
      <c r="Y54" s="9"/>
      <c r="Z54" s="10"/>
      <c r="AA54" s="10"/>
      <c r="AB54" s="9"/>
      <c r="AC54" s="9"/>
      <c r="AD54" s="9"/>
      <c r="AE54" s="9"/>
      <c r="AF54" s="9"/>
      <c r="AG54" s="10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10"/>
      <c r="F55" s="10"/>
      <c r="G55" s="9"/>
      <c r="H55" s="9"/>
      <c r="I55" s="9"/>
      <c r="J55" s="9"/>
      <c r="K55" s="9"/>
      <c r="L55" s="10"/>
      <c r="M55" s="10"/>
      <c r="N55" s="9"/>
      <c r="O55" s="9"/>
      <c r="P55" s="9"/>
      <c r="Q55" s="9"/>
      <c r="R55" s="9"/>
      <c r="S55" s="10"/>
      <c r="T55" s="10"/>
      <c r="U55" s="9"/>
      <c r="V55" s="9"/>
      <c r="W55" s="9"/>
      <c r="X55" s="9"/>
      <c r="Y55" s="9"/>
      <c r="Z55" s="10"/>
      <c r="AA55" s="10"/>
      <c r="AB55" s="9"/>
      <c r="AC55" s="9"/>
      <c r="AD55" s="9"/>
      <c r="AE55" s="9"/>
      <c r="AF55" s="9"/>
      <c r="AG55" s="10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 t="s">
        <v>113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</sheetData>
  <mergeCells count="12">
    <mergeCell ref="C1:AG1"/>
    <mergeCell ref="C2:F2"/>
    <mergeCell ref="G2:M2"/>
    <mergeCell ref="N2:T2"/>
    <mergeCell ref="U2:AA2"/>
    <mergeCell ref="AB2:AG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90">
      <formula>NOT(ISERROR(SEARCH("H1", C6)))</formula>
    </cfRule>
    <cfRule type="expression" priority="3" aboveAverage="0" equalAverage="0" bottom="0" percent="0" rank="0" text="" dxfId="91">
      <formula>NOT(ISERROR(SEARCH("H2", C6)))</formula>
    </cfRule>
    <cfRule type="expression" priority="4" aboveAverage="0" equalAverage="0" bottom="0" percent="0" rank="0" text="" dxfId="92">
      <formula>NOT(ISERROR(SEARCH("H", C6)))</formula>
    </cfRule>
    <cfRule type="expression" priority="5" aboveAverage="0" equalAverage="0" bottom="0" percent="0" rank="0" text="" dxfId="93">
      <formula>NOT(ISERROR(SEARCH("Q", C6)))</formula>
    </cfRule>
    <cfRule type="expression" priority="6" aboveAverage="0" equalAverage="0" bottom="0" percent="0" rank="0" text="" dxfId="94">
      <formula>NOT(ISERROR(SEARCH("I", C6)))</formula>
    </cfRule>
    <cfRule type="expression" priority="7" aboveAverage="0" equalAverage="0" bottom="0" percent="0" rank="0" text="" dxfId="95">
      <formula>NOT(ISERROR(SEARCH("S", C6)))</formula>
    </cfRule>
    <cfRule type="expression" priority="8" aboveAverage="0" equalAverage="0" bottom="0" percent="0" rank="0" text="" dxfId="96">
      <formula>NOT(ISERROR(SEARCH("M", C6)))</formula>
    </cfRule>
    <cfRule type="expression" priority="9" aboveAverage="0" equalAverage="0" bottom="0" percent="0" rank="0" text="" dxfId="97">
      <formula>NOT(ISERROR(SEARCH("C", C6)))</formula>
    </cfRule>
    <cfRule type="expression" priority="10" aboveAverage="0" equalAverage="0" bottom="0" percent="0" rank="0" text="" dxfId="98">
      <formula>NOT(ISERROR(SEARCH("V", C6)))</formula>
    </cfRule>
    <cfRule type="expression" priority="11" aboveAverage="0" equalAverage="0" bottom="0" percent="0" rank="0" text="" dxfId="9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K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.37"/>
    <col collapsed="false" customWidth="true" hidden="false" outlineLevel="0" max="32" min="3" style="0" width="4"/>
    <col collapsed="false" customWidth="true" hidden="false" outlineLevel="0" max="34" min="34" style="0" width="2"/>
    <col collapsed="false" customWidth="true" hidden="false" outlineLevel="0" max="35" min="35" style="0" width="20"/>
    <col collapsed="false" customWidth="true" hidden="false" outlineLevel="0" max="36" min="36" style="0" width="10"/>
    <col collapsed="false" customWidth="true" hidden="false" outlineLevel="0" max="38" min="38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2" hidden="false" customHeight="true" outlineLevel="0" collapsed="false">
      <c r="C2" s="23" t="s">
        <v>114</v>
      </c>
      <c r="D2" s="1" t="s">
        <v>115</v>
      </c>
      <c r="E2" s="1"/>
      <c r="F2" s="1"/>
      <c r="G2" s="1"/>
      <c r="H2" s="1"/>
      <c r="I2" s="1"/>
      <c r="J2" s="1"/>
      <c r="K2" s="1" t="s">
        <v>116</v>
      </c>
      <c r="L2" s="1"/>
      <c r="M2" s="1"/>
      <c r="N2" s="1"/>
      <c r="O2" s="1"/>
      <c r="P2" s="1"/>
      <c r="Q2" s="1"/>
      <c r="R2" s="1" t="s">
        <v>117</v>
      </c>
      <c r="S2" s="1"/>
      <c r="T2" s="1"/>
      <c r="U2" s="1"/>
      <c r="V2" s="1"/>
      <c r="W2" s="1"/>
      <c r="X2" s="1"/>
      <c r="Y2" s="1" t="s">
        <v>118</v>
      </c>
      <c r="Z2" s="1"/>
      <c r="AA2" s="1"/>
      <c r="AB2" s="1"/>
      <c r="AC2" s="1"/>
      <c r="AD2" s="1"/>
      <c r="AE2" s="1"/>
      <c r="AF2" s="23" t="s">
        <v>119</v>
      </c>
    </row>
    <row r="3" customFormat="false" ht="12" hidden="false" customHeight="true" outlineLevel="0" collapsed="false">
      <c r="B3" s="2"/>
      <c r="C3" s="3" t="s">
        <v>120</v>
      </c>
      <c r="D3" s="3" t="s">
        <v>120</v>
      </c>
      <c r="E3" s="3" t="s">
        <v>120</v>
      </c>
      <c r="F3" s="3" t="s">
        <v>120</v>
      </c>
      <c r="G3" s="3" t="s">
        <v>120</v>
      </c>
      <c r="H3" s="3" t="s">
        <v>120</v>
      </c>
      <c r="I3" s="3" t="s">
        <v>120</v>
      </c>
      <c r="J3" s="3" t="s">
        <v>120</v>
      </c>
      <c r="K3" s="3" t="s">
        <v>120</v>
      </c>
      <c r="L3" s="3" t="s">
        <v>120</v>
      </c>
      <c r="M3" s="3" t="s">
        <v>120</v>
      </c>
      <c r="N3" s="3" t="s">
        <v>120</v>
      </c>
      <c r="O3" s="3" t="s">
        <v>120</v>
      </c>
      <c r="P3" s="3" t="s">
        <v>120</v>
      </c>
      <c r="Q3" s="3" t="s">
        <v>120</v>
      </c>
      <c r="R3" s="3" t="s">
        <v>120</v>
      </c>
      <c r="S3" s="3" t="s">
        <v>120</v>
      </c>
      <c r="T3" s="3" t="s">
        <v>120</v>
      </c>
      <c r="U3" s="3" t="s">
        <v>120</v>
      </c>
      <c r="V3" s="3" t="s">
        <v>120</v>
      </c>
      <c r="W3" s="3" t="s">
        <v>120</v>
      </c>
      <c r="X3" s="3" t="s">
        <v>120</v>
      </c>
      <c r="Y3" s="3" t="s">
        <v>120</v>
      </c>
      <c r="Z3" s="3" t="s">
        <v>120</v>
      </c>
      <c r="AA3" s="3" t="s">
        <v>120</v>
      </c>
      <c r="AB3" s="3" t="s">
        <v>120</v>
      </c>
      <c r="AC3" s="3" t="s">
        <v>120</v>
      </c>
      <c r="AD3" s="3" t="s">
        <v>120</v>
      </c>
      <c r="AE3" s="3" t="s">
        <v>120</v>
      </c>
      <c r="AF3" s="3" t="s">
        <v>120</v>
      </c>
      <c r="AG3" s="4" t="s">
        <v>7</v>
      </c>
      <c r="AI3" s="4" t="s">
        <v>8</v>
      </c>
      <c r="AJ3" s="4" t="s">
        <v>9</v>
      </c>
      <c r="AK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4"/>
      <c r="AI4" s="4"/>
      <c r="AJ4" s="4"/>
      <c r="AK4" s="4"/>
    </row>
    <row r="5" customFormat="false" ht="12" hidden="false" customHeight="true" outlineLevel="0" collapsed="false">
      <c r="B5" s="2"/>
      <c r="C5" s="6" t="s">
        <v>14</v>
      </c>
      <c r="D5" s="6" t="s">
        <v>15</v>
      </c>
      <c r="E5" s="6" t="s">
        <v>16</v>
      </c>
      <c r="F5" s="6" t="s">
        <v>17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11</v>
      </c>
      <c r="V5" s="6" t="s">
        <v>12</v>
      </c>
      <c r="W5" s="6" t="s">
        <v>13</v>
      </c>
      <c r="X5" s="6" t="s">
        <v>14</v>
      </c>
      <c r="Y5" s="6" t="s">
        <v>15</v>
      </c>
      <c r="Z5" s="6" t="s">
        <v>16</v>
      </c>
      <c r="AA5" s="6" t="s">
        <v>17</v>
      </c>
      <c r="AB5" s="6" t="s">
        <v>11</v>
      </c>
      <c r="AC5" s="6" t="s">
        <v>12</v>
      </c>
      <c r="AD5" s="6" t="s">
        <v>13</v>
      </c>
      <c r="AE5" s="6" t="s">
        <v>14</v>
      </c>
      <c r="AF5" s="6" t="s">
        <v>15</v>
      </c>
      <c r="AG5" s="4"/>
      <c r="AI5" s="4"/>
      <c r="AJ5" s="4"/>
      <c r="AK5" s="4"/>
    </row>
    <row r="6" customFormat="false" ht="19.5" hidden="false" customHeight="true" outlineLevel="0" collapsed="false">
      <c r="B6" s="8" t="str">
        <f aca="false">'January 2026'!B6</f>
        <v>Patience Tsikudo</v>
      </c>
      <c r="C6" s="10"/>
      <c r="D6" s="9"/>
      <c r="E6" s="9"/>
      <c r="F6" s="9"/>
      <c r="G6" s="9"/>
      <c r="H6" s="9"/>
      <c r="I6" s="10"/>
      <c r="J6" s="10"/>
      <c r="K6" s="9"/>
      <c r="L6" s="9"/>
      <c r="M6" s="9"/>
      <c r="N6" s="9"/>
      <c r="O6" s="9"/>
      <c r="P6" s="10"/>
      <c r="Q6" s="10"/>
      <c r="R6" s="9"/>
      <c r="S6" s="9"/>
      <c r="T6" s="9"/>
      <c r="U6" s="9"/>
      <c r="V6" s="9"/>
      <c r="W6" s="10"/>
      <c r="X6" s="10"/>
      <c r="Y6" s="9"/>
      <c r="Z6" s="9"/>
      <c r="AA6" s="9"/>
      <c r="AB6" s="9"/>
      <c r="AC6" s="9"/>
      <c r="AD6" s="10"/>
      <c r="AE6" s="10"/>
      <c r="AF6" s="9"/>
      <c r="AG6" s="11" t="n">
        <f aca="false">(COUNTIF(C6:AF6,"H")*1)+(COUNTIF(C6:AF6,"H1")*0.5)+(COUNTIF(C6:AF6,"H2")*0.5)+(COUNTIF(C6:AF6,"Q")*0.25)+(COUNTIF(C6:AF6,"I")*1)+(COUNTIF(C6:AF6,"S")*0)+(COUNTIF(C6:AF6,"M")*1)+(COUNTIF(C6:AF6,"C")*0)+(COUNTIF(C6:AF6,"V")*1)+(COUNTIF(C6:AF6,"A")*1)</f>
        <v>0</v>
      </c>
      <c r="AI6" s="11" t="s">
        <v>21</v>
      </c>
      <c r="AJ6" s="12" t="s">
        <v>20</v>
      </c>
      <c r="AK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10"/>
      <c r="D7" s="9"/>
      <c r="E7" s="9"/>
      <c r="F7" s="9"/>
      <c r="G7" s="9"/>
      <c r="H7" s="9"/>
      <c r="I7" s="10"/>
      <c r="J7" s="10"/>
      <c r="K7" s="9"/>
      <c r="L7" s="9"/>
      <c r="M7" s="9"/>
      <c r="N7" s="9"/>
      <c r="O7" s="9"/>
      <c r="P7" s="10"/>
      <c r="Q7" s="10"/>
      <c r="R7" s="9"/>
      <c r="S7" s="9"/>
      <c r="T7" s="9"/>
      <c r="U7" s="9"/>
      <c r="V7" s="9"/>
      <c r="W7" s="10"/>
      <c r="X7" s="10"/>
      <c r="Y7" s="9"/>
      <c r="Z7" s="9"/>
      <c r="AA7" s="9"/>
      <c r="AB7" s="9"/>
      <c r="AC7" s="9"/>
      <c r="AD7" s="10"/>
      <c r="AE7" s="10"/>
      <c r="AF7" s="9"/>
      <c r="AG7" s="11" t="n">
        <f aca="false">(COUNTIF(C7:AF7,"H")*1)+(COUNTIF(C7:AF7,"H1")*0.5)+(COUNTIF(C7:AF7,"H2")*0.5)+(COUNTIF(C7:AF7,"Q")*0.25)+(COUNTIF(C7:AF7,"I")*1)+(COUNTIF(C7:AF7,"S")*0)+(COUNTIF(C7:AF7,"M")*1)+(COUNTIF(C7:AF7,"C")*0)+(COUNTIF(C7:AF7,"V")*1)+(COUNTIF(C7:AF7,"A")*1)</f>
        <v>0</v>
      </c>
      <c r="AI7" s="11" t="s">
        <v>24</v>
      </c>
      <c r="AJ7" s="14" t="s">
        <v>25</v>
      </c>
      <c r="AK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10"/>
      <c r="D8" s="9"/>
      <c r="E8" s="9"/>
      <c r="F8" s="9"/>
      <c r="G8" s="9"/>
      <c r="H8" s="9"/>
      <c r="I8" s="10"/>
      <c r="J8" s="10"/>
      <c r="K8" s="9"/>
      <c r="L8" s="9"/>
      <c r="M8" s="9"/>
      <c r="N8" s="9"/>
      <c r="O8" s="9"/>
      <c r="P8" s="10"/>
      <c r="Q8" s="10"/>
      <c r="R8" s="9"/>
      <c r="S8" s="9"/>
      <c r="T8" s="9"/>
      <c r="U8" s="9"/>
      <c r="V8" s="9"/>
      <c r="W8" s="10"/>
      <c r="X8" s="10"/>
      <c r="Y8" s="9"/>
      <c r="Z8" s="9"/>
      <c r="AA8" s="9"/>
      <c r="AB8" s="9"/>
      <c r="AC8" s="9"/>
      <c r="AD8" s="10"/>
      <c r="AE8" s="10"/>
      <c r="AF8" s="9"/>
      <c r="AG8" s="11" t="n">
        <f aca="false">(COUNTIF(C8:AF8,"H")*1)+(COUNTIF(C8:AF8,"H1")*0.5)+(COUNTIF(C8:AF8,"H2")*0.5)+(COUNTIF(C8:AF8,"Q")*0.25)+(COUNTIF(C8:AF8,"I")*1)+(COUNTIF(C8:AF8,"S")*0)+(COUNTIF(C8:AF8,"M")*1)+(COUNTIF(C8:AF8,"C")*0)+(COUNTIF(C8:AF8,"V")*1)+(COUNTIF(C8:AF8,"A")*1)</f>
        <v>0</v>
      </c>
      <c r="AI8" s="11" t="s">
        <v>27</v>
      </c>
      <c r="AJ8" s="14" t="s">
        <v>28</v>
      </c>
      <c r="AK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10"/>
      <c r="D9" s="9"/>
      <c r="E9" s="9"/>
      <c r="F9" s="9"/>
      <c r="G9" s="9"/>
      <c r="H9" s="9"/>
      <c r="I9" s="10"/>
      <c r="J9" s="10"/>
      <c r="K9" s="9"/>
      <c r="L9" s="9"/>
      <c r="M9" s="9"/>
      <c r="N9" s="9"/>
      <c r="O9" s="9"/>
      <c r="P9" s="10"/>
      <c r="Q9" s="10"/>
      <c r="R9" s="9"/>
      <c r="S9" s="9"/>
      <c r="T9" s="9"/>
      <c r="U9" s="9"/>
      <c r="V9" s="9"/>
      <c r="W9" s="10"/>
      <c r="X9" s="10"/>
      <c r="Y9" s="9"/>
      <c r="Z9" s="9"/>
      <c r="AA9" s="9"/>
      <c r="AB9" s="9"/>
      <c r="AC9" s="9"/>
      <c r="AD9" s="10"/>
      <c r="AE9" s="10"/>
      <c r="AF9" s="9"/>
      <c r="AG9" s="11" t="n">
        <f aca="false">(COUNTIF(C9:AF9,"H")*1)+(COUNTIF(C9:AF9,"H1")*0.5)+(COUNTIF(C9:AF9,"H2")*0.5)+(COUNTIF(C9:AF9,"Q")*0.25)+(COUNTIF(C9:AF9,"I")*1)+(COUNTIF(C9:AF9,"S")*0)+(COUNTIF(C9:AF9,"M")*1)+(COUNTIF(C9:AF9,"C")*0)+(COUNTIF(C9:AF9,"V")*1)+(COUNTIF(C9:AF9,"A")*1)</f>
        <v>0</v>
      </c>
      <c r="AI9" s="11" t="s">
        <v>31</v>
      </c>
      <c r="AJ9" s="15" t="s">
        <v>32</v>
      </c>
      <c r="AK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10"/>
      <c r="D10" s="9"/>
      <c r="E10" s="9"/>
      <c r="F10" s="9"/>
      <c r="G10" s="9"/>
      <c r="H10" s="9"/>
      <c r="I10" s="10"/>
      <c r="J10" s="10"/>
      <c r="K10" s="9"/>
      <c r="L10" s="9"/>
      <c r="M10" s="9"/>
      <c r="N10" s="9"/>
      <c r="O10" s="9"/>
      <c r="P10" s="10"/>
      <c r="Q10" s="10"/>
      <c r="R10" s="9"/>
      <c r="S10" s="9"/>
      <c r="T10" s="9"/>
      <c r="U10" s="9"/>
      <c r="V10" s="9"/>
      <c r="W10" s="10"/>
      <c r="X10" s="10"/>
      <c r="Y10" s="9"/>
      <c r="Z10" s="9"/>
      <c r="AA10" s="9"/>
      <c r="AB10" s="9"/>
      <c r="AC10" s="9"/>
      <c r="AD10" s="10"/>
      <c r="AE10" s="10"/>
      <c r="AF10" s="9"/>
      <c r="AG10" s="11" t="n">
        <f aca="false">(COUNTIF(C10:AF10,"H")*1)+(COUNTIF(C10:AF10,"H1")*0.5)+(COUNTIF(C10:AF10,"H2")*0.5)+(COUNTIF(C10:AF10,"Q")*0.25)+(COUNTIF(C10:AF10,"I")*1)+(COUNTIF(C10:AF10,"S")*0)+(COUNTIF(C10:AF10,"M")*1)+(COUNTIF(C10:AF10,"C")*0)+(COUNTIF(C10:AF10,"V")*1)+(COUNTIF(C10:AF10,"A")*1)</f>
        <v>0</v>
      </c>
      <c r="AI10" s="11" t="s">
        <v>34</v>
      </c>
      <c r="AJ10" s="17" t="s">
        <v>23</v>
      </c>
      <c r="AK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10"/>
      <c r="D11" s="9"/>
      <c r="E11" s="9"/>
      <c r="F11" s="9"/>
      <c r="G11" s="9"/>
      <c r="H11" s="9"/>
      <c r="I11" s="10"/>
      <c r="J11" s="10"/>
      <c r="K11" s="9"/>
      <c r="L11" s="9"/>
      <c r="M11" s="9"/>
      <c r="N11" s="9"/>
      <c r="O11" s="9"/>
      <c r="P11" s="10"/>
      <c r="Q11" s="10"/>
      <c r="R11" s="9"/>
      <c r="S11" s="9"/>
      <c r="T11" s="9"/>
      <c r="U11" s="9"/>
      <c r="V11" s="9"/>
      <c r="W11" s="10"/>
      <c r="X11" s="10"/>
      <c r="Y11" s="9"/>
      <c r="Z11" s="9"/>
      <c r="AA11" s="9"/>
      <c r="AB11" s="9"/>
      <c r="AC11" s="9"/>
      <c r="AD11" s="10"/>
      <c r="AE11" s="10"/>
      <c r="AF11" s="9"/>
      <c r="AG11" s="11" t="n">
        <f aca="false">(COUNTIF(C11:AF11,"H")*1)+(COUNTIF(C11:AF11,"H1")*0.5)+(COUNTIF(C11:AF11,"H2")*0.5)+(COUNTIF(C11:AF11,"Q")*0.25)+(COUNTIF(C11:AF11,"I")*1)+(COUNTIF(C11:AF11,"S")*0)+(COUNTIF(C11:AF11,"M")*1)+(COUNTIF(C11:AF11,"C")*0)+(COUNTIF(C11:AF11,"V")*1)+(COUNTIF(C11:AF11,"A")*1)</f>
        <v>0</v>
      </c>
      <c r="AI11" s="11" t="s">
        <v>36</v>
      </c>
      <c r="AJ11" s="18" t="s">
        <v>30</v>
      </c>
      <c r="AK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10"/>
      <c r="D12" s="9"/>
      <c r="E12" s="9"/>
      <c r="F12" s="9"/>
      <c r="G12" s="9"/>
      <c r="H12" s="9"/>
      <c r="I12" s="10"/>
      <c r="J12" s="10"/>
      <c r="K12" s="9"/>
      <c r="L12" s="9"/>
      <c r="M12" s="9"/>
      <c r="N12" s="9"/>
      <c r="O12" s="9"/>
      <c r="P12" s="10"/>
      <c r="Q12" s="10"/>
      <c r="R12" s="9"/>
      <c r="S12" s="9"/>
      <c r="T12" s="9"/>
      <c r="U12" s="9"/>
      <c r="V12" s="9"/>
      <c r="W12" s="10"/>
      <c r="X12" s="10"/>
      <c r="Y12" s="9"/>
      <c r="Z12" s="9"/>
      <c r="AA12" s="9"/>
      <c r="AB12" s="9"/>
      <c r="AC12" s="9"/>
      <c r="AD12" s="10"/>
      <c r="AE12" s="10"/>
      <c r="AF12" s="9"/>
      <c r="AG12" s="11" t="n">
        <f aca="false">(COUNTIF(C12:AF12,"H")*1)+(COUNTIF(C12:AF12,"H1")*0.5)+(COUNTIF(C12:AF12,"H2")*0.5)+(COUNTIF(C12:AF12,"Q")*0.25)+(COUNTIF(C12:AF12,"I")*1)+(COUNTIF(C12:AF12,"S")*0)+(COUNTIF(C12:AF12,"M")*1)+(COUNTIF(C12:AF12,"C")*0)+(COUNTIF(C12:AF12,"V")*1)+(COUNTIF(C12:AF12,"A")*1)</f>
        <v>0</v>
      </c>
      <c r="AI12" s="11" t="s">
        <v>38</v>
      </c>
      <c r="AJ12" s="19" t="s">
        <v>39</v>
      </c>
      <c r="AK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10"/>
      <c r="D13" s="9"/>
      <c r="E13" s="9"/>
      <c r="F13" s="9"/>
      <c r="G13" s="9"/>
      <c r="H13" s="9"/>
      <c r="I13" s="10"/>
      <c r="J13" s="10"/>
      <c r="K13" s="9"/>
      <c r="L13" s="9"/>
      <c r="M13" s="9"/>
      <c r="N13" s="9"/>
      <c r="O13" s="9"/>
      <c r="P13" s="10"/>
      <c r="Q13" s="10"/>
      <c r="R13" s="9"/>
      <c r="S13" s="9"/>
      <c r="T13" s="9"/>
      <c r="U13" s="9"/>
      <c r="V13" s="9"/>
      <c r="W13" s="10"/>
      <c r="X13" s="10"/>
      <c r="Y13" s="9"/>
      <c r="Z13" s="9"/>
      <c r="AA13" s="9"/>
      <c r="AB13" s="9"/>
      <c r="AC13" s="9"/>
      <c r="AD13" s="10"/>
      <c r="AE13" s="10"/>
      <c r="AF13" s="9"/>
      <c r="AG13" s="11" t="n">
        <f aca="false">(COUNTIF(C13:AF13,"H")*1)+(COUNTIF(C13:AF13,"H1")*0.5)+(COUNTIF(C13:AF13,"H2")*0.5)+(COUNTIF(C13:AF13,"Q")*0.25)+(COUNTIF(C13:AF13,"I")*1)+(COUNTIF(C13:AF13,"S")*0)+(COUNTIF(C13:AF13,"M")*1)+(COUNTIF(C13:AF13,"C")*0)+(COUNTIF(C13:AF13,"V")*1)+(COUNTIF(C13:AF13,"A")*1)</f>
        <v>0</v>
      </c>
      <c r="AI13" s="11" t="s">
        <v>41</v>
      </c>
      <c r="AJ13" s="20" t="s">
        <v>42</v>
      </c>
      <c r="AK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10"/>
      <c r="D14" s="9"/>
      <c r="E14" s="9"/>
      <c r="F14" s="9"/>
      <c r="G14" s="9"/>
      <c r="H14" s="9"/>
      <c r="I14" s="10"/>
      <c r="J14" s="10"/>
      <c r="K14" s="9"/>
      <c r="L14" s="9"/>
      <c r="M14" s="9"/>
      <c r="N14" s="9"/>
      <c r="O14" s="9"/>
      <c r="P14" s="10"/>
      <c r="Q14" s="10"/>
      <c r="R14" s="9"/>
      <c r="S14" s="9"/>
      <c r="T14" s="9"/>
      <c r="U14" s="9"/>
      <c r="V14" s="9"/>
      <c r="W14" s="10"/>
      <c r="X14" s="10"/>
      <c r="Y14" s="9"/>
      <c r="Z14" s="9"/>
      <c r="AA14" s="9"/>
      <c r="AB14" s="9"/>
      <c r="AC14" s="9"/>
      <c r="AD14" s="10"/>
      <c r="AE14" s="10"/>
      <c r="AF14" s="9"/>
      <c r="AG14" s="11" t="n">
        <f aca="false">(COUNTIF(C14:AF14,"H")*1)+(COUNTIF(C14:AF14,"H1")*0.5)+(COUNTIF(C14:AF14,"H2")*0.5)+(COUNTIF(C14:AF14,"Q")*0.25)+(COUNTIF(C14:AF14,"I")*1)+(COUNTIF(C14:AF14,"S")*0)+(COUNTIF(C14:AF14,"M")*1)+(COUNTIF(C14:AF14,"C")*0)+(COUNTIF(C14:AF14,"V")*1)+(COUNTIF(C14:AF14,"A")*1)</f>
        <v>0</v>
      </c>
      <c r="AI14" s="11" t="s">
        <v>44</v>
      </c>
      <c r="AJ14" s="21" t="s">
        <v>19</v>
      </c>
      <c r="AK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10"/>
      <c r="D15" s="9"/>
      <c r="E15" s="9"/>
      <c r="F15" s="9"/>
      <c r="G15" s="9"/>
      <c r="H15" s="9"/>
      <c r="I15" s="10"/>
      <c r="J15" s="10"/>
      <c r="K15" s="9"/>
      <c r="L15" s="9"/>
      <c r="M15" s="9"/>
      <c r="N15" s="9"/>
      <c r="O15" s="9"/>
      <c r="P15" s="10"/>
      <c r="Q15" s="10"/>
      <c r="R15" s="9"/>
      <c r="S15" s="9"/>
      <c r="T15" s="9"/>
      <c r="U15" s="9"/>
      <c r="V15" s="9"/>
      <c r="W15" s="10"/>
      <c r="X15" s="10"/>
      <c r="Y15" s="9"/>
      <c r="Z15" s="9"/>
      <c r="AA15" s="9"/>
      <c r="AB15" s="9"/>
      <c r="AC15" s="9"/>
      <c r="AD15" s="10"/>
      <c r="AE15" s="10"/>
      <c r="AF15" s="9"/>
      <c r="AG15" s="11" t="n">
        <f aca="false">(COUNTIF(C15:AF15,"H")*1)+(COUNTIF(C15:AF15,"H1")*0.5)+(COUNTIF(C15:AF15,"H2")*0.5)+(COUNTIF(C15:AF15,"Q")*0.25)+(COUNTIF(C15:AF15,"I")*1)+(COUNTIF(C15:AF15,"S")*0)+(COUNTIF(C15:AF15,"M")*1)+(COUNTIF(C15:AF15,"C")*0)+(COUNTIF(C15:AF15,"V")*1)+(COUNTIF(C15:AF15,"A")*1)</f>
        <v>0</v>
      </c>
      <c r="AI15" s="11" t="s">
        <v>46</v>
      </c>
      <c r="AJ15" s="22" t="s">
        <v>47</v>
      </c>
      <c r="AK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10"/>
      <c r="D16" s="9"/>
      <c r="E16" s="9"/>
      <c r="F16" s="9"/>
      <c r="G16" s="9"/>
      <c r="H16" s="9"/>
      <c r="I16" s="10"/>
      <c r="J16" s="10"/>
      <c r="K16" s="9"/>
      <c r="L16" s="9"/>
      <c r="M16" s="9"/>
      <c r="N16" s="9"/>
      <c r="O16" s="9"/>
      <c r="P16" s="10"/>
      <c r="Q16" s="10"/>
      <c r="R16" s="9"/>
      <c r="S16" s="9"/>
      <c r="T16" s="9"/>
      <c r="U16" s="9"/>
      <c r="V16" s="9"/>
      <c r="W16" s="10"/>
      <c r="X16" s="10"/>
      <c r="Y16" s="9"/>
      <c r="Z16" s="9"/>
      <c r="AA16" s="9"/>
      <c r="AB16" s="9"/>
      <c r="AC16" s="9"/>
      <c r="AD16" s="10"/>
      <c r="AE16" s="10"/>
      <c r="AF16" s="9"/>
      <c r="AG16" s="11" t="n">
        <f aca="false">(COUNTIF(C16:AF16,"H")*1)+(COUNTIF(C16:AF16,"H1")*0.5)+(COUNTIF(C16:AF16,"H2")*0.5)+(COUNTIF(C16:AF16,"Q")*0.25)+(COUNTIF(C16:AF16,"I")*1)+(COUNTIF(C16:AF16,"S")*0)+(COUNTIF(C16:AF16,"M")*1)+(COUNTIF(C16:AF16,"C")*0)+(COUNTIF(C16:AF16,"V")*1)+(COUNTIF(C16:AF16,"A")*1)</f>
        <v>0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10"/>
      <c r="D17" s="9"/>
      <c r="E17" s="9"/>
      <c r="F17" s="9"/>
      <c r="G17" s="9"/>
      <c r="H17" s="9"/>
      <c r="I17" s="10"/>
      <c r="J17" s="10"/>
      <c r="K17" s="9"/>
      <c r="L17" s="9"/>
      <c r="M17" s="9"/>
      <c r="N17" s="9"/>
      <c r="O17" s="9"/>
      <c r="P17" s="10"/>
      <c r="Q17" s="10"/>
      <c r="R17" s="9"/>
      <c r="S17" s="9"/>
      <c r="T17" s="9"/>
      <c r="U17" s="9"/>
      <c r="V17" s="9"/>
      <c r="W17" s="10"/>
      <c r="X17" s="10"/>
      <c r="Y17" s="9"/>
      <c r="Z17" s="9"/>
      <c r="AA17" s="9"/>
      <c r="AB17" s="9"/>
      <c r="AC17" s="9"/>
      <c r="AD17" s="10"/>
      <c r="AE17" s="10"/>
      <c r="AF17" s="9"/>
      <c r="AG17" s="11" t="n">
        <f aca="false">(COUNTIF(C17:AF17,"H")*1)+(COUNTIF(C17:AF17,"H1")*0.5)+(COUNTIF(C17:AF17,"H2")*0.5)+(COUNTIF(C17:AF17,"Q")*0.25)+(COUNTIF(C17:AF17,"I")*1)+(COUNTIF(C17:AF17,"S")*0)+(COUNTIF(C17:AF17,"M")*1)+(COUNTIF(C17:AF17,"C")*0)+(COUNTIF(C17:AF17,"V")*1)+(COUNTIF(C17:AF17,"A")*1)</f>
        <v>0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10"/>
      <c r="D18" s="9"/>
      <c r="E18" s="9"/>
      <c r="F18" s="9"/>
      <c r="G18" s="9"/>
      <c r="H18" s="9"/>
      <c r="I18" s="10"/>
      <c r="J18" s="10"/>
      <c r="K18" s="9"/>
      <c r="L18" s="9"/>
      <c r="M18" s="9"/>
      <c r="N18" s="9"/>
      <c r="O18" s="9"/>
      <c r="P18" s="10"/>
      <c r="Q18" s="10"/>
      <c r="R18" s="9"/>
      <c r="S18" s="9"/>
      <c r="T18" s="9"/>
      <c r="U18" s="9"/>
      <c r="V18" s="9"/>
      <c r="W18" s="10"/>
      <c r="X18" s="10"/>
      <c r="Y18" s="9"/>
      <c r="Z18" s="9"/>
      <c r="AA18" s="9"/>
      <c r="AB18" s="9"/>
      <c r="AC18" s="9"/>
      <c r="AD18" s="10"/>
      <c r="AE18" s="10"/>
      <c r="AF18" s="9"/>
      <c r="AG18" s="11" t="n">
        <f aca="false">(COUNTIF(C18:AF18,"H")*1)+(COUNTIF(C18:AF18,"H1")*0.5)+(COUNTIF(C18:AF18,"H2")*0.5)+(COUNTIF(C18:AF18,"Q")*0.25)+(COUNTIF(C18:AF18,"I")*1)+(COUNTIF(C18:AF18,"S")*0)+(COUNTIF(C18:AF18,"M")*1)+(COUNTIF(C18:AF18,"C")*0)+(COUNTIF(C18:AF18,"V")*1)+(COUNTIF(C18:AF18,"A")*1)</f>
        <v>0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10"/>
      <c r="D19" s="9"/>
      <c r="E19" s="9"/>
      <c r="F19" s="9"/>
      <c r="G19" s="9"/>
      <c r="H19" s="9"/>
      <c r="I19" s="10"/>
      <c r="J19" s="10"/>
      <c r="K19" s="9"/>
      <c r="L19" s="9"/>
      <c r="M19" s="9"/>
      <c r="N19" s="9"/>
      <c r="O19" s="9"/>
      <c r="P19" s="10"/>
      <c r="Q19" s="10"/>
      <c r="R19" s="9"/>
      <c r="S19" s="9"/>
      <c r="T19" s="9"/>
      <c r="U19" s="9"/>
      <c r="V19" s="9"/>
      <c r="W19" s="10"/>
      <c r="X19" s="10"/>
      <c r="Y19" s="9"/>
      <c r="Z19" s="9"/>
      <c r="AA19" s="9"/>
      <c r="AB19" s="9"/>
      <c r="AC19" s="9"/>
      <c r="AD19" s="10"/>
      <c r="AE19" s="10"/>
      <c r="AF19" s="9"/>
      <c r="AG19" s="11" t="n">
        <f aca="false">(COUNTIF(C19:AF19,"H")*1)+(COUNTIF(C19:AF19,"H1")*0.5)+(COUNTIF(C19:AF19,"H2")*0.5)+(COUNTIF(C19:AF19,"Q")*0.25)+(COUNTIF(C19:AF19,"I")*1)+(COUNTIF(C19:AF19,"S")*0)+(COUNTIF(C19:AF19,"M")*1)+(COUNTIF(C19:AF19,"C")*0)+(COUNTIF(C19:AF19,"V")*1)+(COUNTIF(C19:AF19,"A")*1)</f>
        <v>0</v>
      </c>
    </row>
    <row r="20" customFormat="false" ht="19.5" hidden="false" customHeight="true" outlineLevel="0" collapsed="false">
      <c r="B20" s="8" t="s">
        <v>79</v>
      </c>
      <c r="C20" s="10"/>
      <c r="D20" s="9"/>
      <c r="E20" s="9"/>
      <c r="F20" s="9"/>
      <c r="G20" s="9"/>
      <c r="H20" s="9"/>
      <c r="I20" s="10"/>
      <c r="J20" s="10"/>
      <c r="K20" s="9"/>
      <c r="L20" s="9"/>
      <c r="M20" s="9"/>
      <c r="N20" s="9"/>
      <c r="O20" s="9"/>
      <c r="P20" s="10"/>
      <c r="Q20" s="10"/>
      <c r="R20" s="9"/>
      <c r="S20" s="9"/>
      <c r="T20" s="9"/>
      <c r="U20" s="9"/>
      <c r="V20" s="9"/>
      <c r="W20" s="10"/>
      <c r="X20" s="10"/>
      <c r="Y20" s="9"/>
      <c r="Z20" s="9"/>
      <c r="AA20" s="9"/>
      <c r="AB20" s="9"/>
      <c r="AC20" s="9"/>
      <c r="AD20" s="10"/>
      <c r="AE20" s="10"/>
      <c r="AF20" s="9"/>
      <c r="AG20" s="11" t="n">
        <f aca="false">(COUNTIF(C20:AF20,"H")*1)+(COUNTIF(C20:AF20,"H1")*0.5)+(COUNTIF(C20:AF20,"H2")*0.5)+(COUNTIF(C20:AF20,"Q")*0.25)+(COUNTIF(C20:AF20,"I")*1)+(COUNTIF(C20:AF20,"S")*0)+(COUNTIF(C20:AF20,"M")*1)+(COUNTIF(C20:AF20,"C")*0)+(COUNTIF(C20:AF20,"V")*1)+(COUNTIF(C20:AF20,"A")*1)</f>
        <v>0</v>
      </c>
    </row>
    <row r="21" customFormat="false" ht="19.5" hidden="false" customHeight="true" outlineLevel="0" collapsed="false">
      <c r="B21" s="8" t="n">
        <f aca="false">'January 2026'!B21</f>
        <v>0</v>
      </c>
      <c r="C21" s="10"/>
      <c r="D21" s="9"/>
      <c r="E21" s="9"/>
      <c r="F21" s="9"/>
      <c r="G21" s="9"/>
      <c r="H21" s="9"/>
      <c r="I21" s="10"/>
      <c r="J21" s="10"/>
      <c r="K21" s="9"/>
      <c r="L21" s="9"/>
      <c r="M21" s="9"/>
      <c r="N21" s="9"/>
      <c r="O21" s="9"/>
      <c r="P21" s="10"/>
      <c r="Q21" s="10"/>
      <c r="R21" s="9"/>
      <c r="S21" s="9"/>
      <c r="T21" s="9"/>
      <c r="U21" s="9"/>
      <c r="V21" s="9"/>
      <c r="W21" s="10"/>
      <c r="X21" s="10"/>
      <c r="Y21" s="9"/>
      <c r="Z21" s="9"/>
      <c r="AA21" s="9"/>
      <c r="AB21" s="9"/>
      <c r="AC21" s="9"/>
      <c r="AD21" s="10"/>
      <c r="AE21" s="10"/>
      <c r="AF21" s="9"/>
      <c r="AG21" s="11" t="n">
        <f aca="false">(COUNTIF(C21:AF21,"H")*1)+(COUNTIF(C21:AF21,"H1")*0.5)+(COUNTIF(C21:AF21,"H2")*0.5)+(COUNTIF(C21:AF21,"Q")*0.25)+(COUNTIF(C21:AF21,"I")*1)+(COUNTIF(C21:AF21,"S")*0)+(COUNTIF(C21:AF21,"M")*1)+(COUNTIF(C21:AF21,"C")*0)+(COUNTIF(C21:AF21,"V")*1)+(COUNTIF(C21:AF21,"A")*1)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10"/>
      <c r="D22" s="9"/>
      <c r="E22" s="9"/>
      <c r="F22" s="9"/>
      <c r="G22" s="9"/>
      <c r="H22" s="9"/>
      <c r="I22" s="10"/>
      <c r="J22" s="10"/>
      <c r="K22" s="9"/>
      <c r="L22" s="9"/>
      <c r="M22" s="9"/>
      <c r="N22" s="9"/>
      <c r="O22" s="9"/>
      <c r="P22" s="10"/>
      <c r="Q22" s="10"/>
      <c r="R22" s="9"/>
      <c r="S22" s="9"/>
      <c r="T22" s="9"/>
      <c r="U22" s="9"/>
      <c r="V22" s="9"/>
      <c r="W22" s="10"/>
      <c r="X22" s="10"/>
      <c r="Y22" s="9"/>
      <c r="Z22" s="9"/>
      <c r="AA22" s="9"/>
      <c r="AB22" s="9"/>
      <c r="AC22" s="9"/>
      <c r="AD22" s="10"/>
      <c r="AE22" s="10"/>
      <c r="AF22" s="9"/>
      <c r="AG22" s="11" t="n">
        <f aca="false">(COUNTIF(C22:AF22,"H")*1)+(COUNTIF(C22:AF22,"H1")*0.5)+(COUNTIF(C22:AF22,"H2")*0.5)+(COUNTIF(C22:AF22,"Q")*0.25)+(COUNTIF(C22:AF22,"I")*1)+(COUNTIF(C22:AF22,"S")*0)+(COUNTIF(C22:AF22,"M")*1)+(COUNTIF(C22:AF22,"C")*0)+(COUNTIF(C22:AF22,"V")*1)+(COUNTIF(C22:AF22,"A")*1)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10"/>
      <c r="D23" s="9"/>
      <c r="E23" s="9"/>
      <c r="F23" s="9"/>
      <c r="G23" s="9"/>
      <c r="H23" s="9"/>
      <c r="I23" s="10"/>
      <c r="J23" s="10"/>
      <c r="K23" s="9"/>
      <c r="L23" s="9"/>
      <c r="M23" s="9"/>
      <c r="N23" s="9"/>
      <c r="O23" s="9"/>
      <c r="P23" s="10"/>
      <c r="Q23" s="10"/>
      <c r="R23" s="9"/>
      <c r="S23" s="9"/>
      <c r="T23" s="9"/>
      <c r="U23" s="9"/>
      <c r="V23" s="9"/>
      <c r="W23" s="10"/>
      <c r="X23" s="10"/>
      <c r="Y23" s="9"/>
      <c r="Z23" s="9"/>
      <c r="AA23" s="9"/>
      <c r="AB23" s="9"/>
      <c r="AC23" s="9"/>
      <c r="AD23" s="10"/>
      <c r="AE23" s="10"/>
      <c r="AF23" s="9"/>
      <c r="AG23" s="11" t="n">
        <f aca="false">(COUNTIF(C23:AF23,"H")*1)+(COUNTIF(C23:AF23,"H1")*0.5)+(COUNTIF(C23:AF23,"H2")*0.5)+(COUNTIF(C23:AF23,"Q")*0.25)+(COUNTIF(C23:AF23,"I")*1)+(COUNTIF(C23:AF23,"S")*0)+(COUNTIF(C23:AF23,"M")*1)+(COUNTIF(C23:AF23,"C")*0)+(COUNTIF(C23:AF23,"V")*1)+(COUNTIF(C23:AF23,"A")*1)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10"/>
      <c r="D24" s="9"/>
      <c r="E24" s="9"/>
      <c r="F24" s="9"/>
      <c r="G24" s="9"/>
      <c r="H24" s="9"/>
      <c r="I24" s="10"/>
      <c r="J24" s="10"/>
      <c r="K24" s="9"/>
      <c r="L24" s="9"/>
      <c r="M24" s="9"/>
      <c r="N24" s="9"/>
      <c r="O24" s="9"/>
      <c r="P24" s="10"/>
      <c r="Q24" s="10"/>
      <c r="R24" s="9"/>
      <c r="S24" s="9"/>
      <c r="T24" s="9"/>
      <c r="U24" s="9"/>
      <c r="V24" s="9"/>
      <c r="W24" s="10"/>
      <c r="X24" s="10"/>
      <c r="Y24" s="9"/>
      <c r="Z24" s="9"/>
      <c r="AA24" s="9"/>
      <c r="AB24" s="9"/>
      <c r="AC24" s="9"/>
      <c r="AD24" s="10"/>
      <c r="AE24" s="10"/>
      <c r="AF24" s="9"/>
      <c r="AG24" s="11" t="n">
        <f aca="false">(COUNTIF(C24:AF24,"H")*1)+(COUNTIF(C24:AF24,"H1")*0.5)+(COUNTIF(C24:AF24,"H2")*0.5)+(COUNTIF(C24:AF24,"Q")*0.25)+(COUNTIF(C24:AF24,"I")*1)+(COUNTIF(C24:AF24,"S")*0)+(COUNTIF(C24:AF24,"M")*1)+(COUNTIF(C24:AF24,"C")*0)+(COUNTIF(C24:AF24,"V")*1)+(COUNTIF(C24:AF24,"A")*1)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10"/>
      <c r="D25" s="9"/>
      <c r="E25" s="9"/>
      <c r="F25" s="9"/>
      <c r="G25" s="9"/>
      <c r="H25" s="9"/>
      <c r="I25" s="10"/>
      <c r="J25" s="10"/>
      <c r="K25" s="9"/>
      <c r="L25" s="9"/>
      <c r="M25" s="9"/>
      <c r="N25" s="9"/>
      <c r="O25" s="9"/>
      <c r="P25" s="10"/>
      <c r="Q25" s="10"/>
      <c r="R25" s="9"/>
      <c r="S25" s="9"/>
      <c r="T25" s="9"/>
      <c r="U25" s="9"/>
      <c r="V25" s="9"/>
      <c r="W25" s="10"/>
      <c r="X25" s="10"/>
      <c r="Y25" s="9"/>
      <c r="Z25" s="9"/>
      <c r="AA25" s="9"/>
      <c r="AB25" s="9"/>
      <c r="AC25" s="9"/>
      <c r="AD25" s="10"/>
      <c r="AE25" s="10"/>
      <c r="AF25" s="9"/>
      <c r="AG25" s="11" t="n">
        <f aca="false">(COUNTIF(C25:AF25,"H")*1)+(COUNTIF(C25:AF25,"H1")*0.5)+(COUNTIF(C25:AF25,"H2")*0.5)+(COUNTIF(C25:AF25,"Q")*0.25)+(COUNTIF(C25:AF25,"I")*1)+(COUNTIF(C25:AF25,"S")*0)+(COUNTIF(C25:AF25,"M")*1)+(COUNTIF(C25:AF25,"C")*0)+(COUNTIF(C25:AF25,"V")*1)+(COUNTIF(C25:AF25,"A")*1)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10"/>
      <c r="D26" s="9"/>
      <c r="E26" s="9"/>
      <c r="F26" s="9"/>
      <c r="G26" s="9"/>
      <c r="H26" s="9"/>
      <c r="I26" s="10"/>
      <c r="J26" s="10"/>
      <c r="K26" s="9"/>
      <c r="L26" s="9"/>
      <c r="M26" s="9"/>
      <c r="N26" s="9"/>
      <c r="O26" s="9"/>
      <c r="P26" s="10"/>
      <c r="Q26" s="10"/>
      <c r="R26" s="9"/>
      <c r="S26" s="9"/>
      <c r="T26" s="9"/>
      <c r="U26" s="9"/>
      <c r="V26" s="9"/>
      <c r="W26" s="10"/>
      <c r="X26" s="10"/>
      <c r="Y26" s="9"/>
      <c r="Z26" s="9"/>
      <c r="AA26" s="9"/>
      <c r="AB26" s="9"/>
      <c r="AC26" s="9"/>
      <c r="AD26" s="10"/>
      <c r="AE26" s="10"/>
      <c r="AF26" s="9"/>
      <c r="AG26" s="11" t="n">
        <f aca="false">(COUNTIF(C26:AF26,"H")*1)+(COUNTIF(C26:AF26,"H1")*0.5)+(COUNTIF(C26:AF26,"H2")*0.5)+(COUNTIF(C26:AF26,"Q")*0.25)+(COUNTIF(C26:AF26,"I")*1)+(COUNTIF(C26:AF26,"S")*0)+(COUNTIF(C26:AF26,"M")*1)+(COUNTIF(C26:AF26,"C")*0)+(COUNTIF(C26:AF26,"V")*1)+(COUNTIF(C26:AF26,"A")*1)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10"/>
      <c r="D27" s="9"/>
      <c r="E27" s="9"/>
      <c r="F27" s="9"/>
      <c r="G27" s="9"/>
      <c r="H27" s="9"/>
      <c r="I27" s="10"/>
      <c r="J27" s="10"/>
      <c r="K27" s="9"/>
      <c r="L27" s="9"/>
      <c r="M27" s="9"/>
      <c r="N27" s="9"/>
      <c r="O27" s="9"/>
      <c r="P27" s="10"/>
      <c r="Q27" s="10"/>
      <c r="R27" s="9"/>
      <c r="S27" s="9"/>
      <c r="T27" s="9"/>
      <c r="U27" s="9"/>
      <c r="V27" s="9"/>
      <c r="W27" s="10"/>
      <c r="X27" s="10"/>
      <c r="Y27" s="9"/>
      <c r="Z27" s="9"/>
      <c r="AA27" s="9"/>
      <c r="AB27" s="9"/>
      <c r="AC27" s="9"/>
      <c r="AD27" s="10"/>
      <c r="AE27" s="10"/>
      <c r="AF27" s="9"/>
      <c r="AG27" s="11" t="n">
        <f aca="false">(COUNTIF(C27:AF27,"H")*1)+(COUNTIF(C27:AF27,"H1")*0.5)+(COUNTIF(C27:AF27,"H2")*0.5)+(COUNTIF(C27:AF27,"Q")*0.25)+(COUNTIF(C27:AF27,"I")*1)+(COUNTIF(C27:AF27,"S")*0)+(COUNTIF(C27:AF27,"M")*1)+(COUNTIF(C27:AF27,"C")*0)+(COUNTIF(C27:AF27,"V")*1)+(COUNTIF(C27:AF27,"A")*1)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10"/>
      <c r="D28" s="9"/>
      <c r="E28" s="9"/>
      <c r="F28" s="9"/>
      <c r="G28" s="9"/>
      <c r="H28" s="9"/>
      <c r="I28" s="10"/>
      <c r="J28" s="10"/>
      <c r="K28" s="9"/>
      <c r="L28" s="9"/>
      <c r="M28" s="9"/>
      <c r="N28" s="9"/>
      <c r="O28" s="9"/>
      <c r="P28" s="10"/>
      <c r="Q28" s="10"/>
      <c r="R28" s="9"/>
      <c r="S28" s="9"/>
      <c r="T28" s="9"/>
      <c r="U28" s="9"/>
      <c r="V28" s="9"/>
      <c r="W28" s="10"/>
      <c r="X28" s="10"/>
      <c r="Y28" s="9"/>
      <c r="Z28" s="9"/>
      <c r="AA28" s="9"/>
      <c r="AB28" s="9"/>
      <c r="AC28" s="9"/>
      <c r="AD28" s="10"/>
      <c r="AE28" s="10"/>
      <c r="AF28" s="9"/>
      <c r="AG28" s="11" t="n">
        <f aca="false">(COUNTIF(C28:AF28,"H")*1)+(COUNTIF(C28:AF28,"H1")*0.5)+(COUNTIF(C28:AF28,"H2")*0.5)+(COUNTIF(C28:AF28,"Q")*0.25)+(COUNTIF(C28:AF28,"I")*1)+(COUNTIF(C28:AF28,"S")*0)+(COUNTIF(C28:AF28,"M")*1)+(COUNTIF(C28:AF28,"C")*0)+(COUNTIF(C28:AF28,"V")*1)+(COUNTIF(C28:AF28,"A")*1)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10"/>
      <c r="D29" s="9"/>
      <c r="E29" s="9"/>
      <c r="F29" s="9"/>
      <c r="G29" s="9"/>
      <c r="H29" s="9"/>
      <c r="I29" s="10"/>
      <c r="J29" s="10"/>
      <c r="K29" s="9"/>
      <c r="L29" s="9"/>
      <c r="M29" s="9"/>
      <c r="N29" s="9"/>
      <c r="O29" s="9"/>
      <c r="P29" s="10"/>
      <c r="Q29" s="10"/>
      <c r="R29" s="9"/>
      <c r="S29" s="9"/>
      <c r="T29" s="9"/>
      <c r="U29" s="9"/>
      <c r="V29" s="9"/>
      <c r="W29" s="10"/>
      <c r="X29" s="10"/>
      <c r="Y29" s="9"/>
      <c r="Z29" s="9"/>
      <c r="AA29" s="9"/>
      <c r="AB29" s="9"/>
      <c r="AC29" s="9"/>
      <c r="AD29" s="10"/>
      <c r="AE29" s="10"/>
      <c r="AF29" s="9"/>
      <c r="AG29" s="11" t="n">
        <f aca="false">(COUNTIF(C29:AF29,"H")*1)+(COUNTIF(C29:AF29,"H1")*0.5)+(COUNTIF(C29:AF29,"H2")*0.5)+(COUNTIF(C29:AF29,"Q")*0.25)+(COUNTIF(C29:AF29,"I")*1)+(COUNTIF(C29:AF29,"S")*0)+(COUNTIF(C29:AF29,"M")*1)+(COUNTIF(C29:AF29,"C")*0)+(COUNTIF(C29:AF29,"V")*1)+(COUNTIF(C29:AF29,"A")*1)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10"/>
      <c r="D30" s="9"/>
      <c r="E30" s="9"/>
      <c r="F30" s="9"/>
      <c r="G30" s="9"/>
      <c r="H30" s="9"/>
      <c r="I30" s="10"/>
      <c r="J30" s="10"/>
      <c r="K30" s="9"/>
      <c r="L30" s="9"/>
      <c r="M30" s="9"/>
      <c r="N30" s="9"/>
      <c r="O30" s="9"/>
      <c r="P30" s="10"/>
      <c r="Q30" s="10"/>
      <c r="R30" s="9"/>
      <c r="S30" s="9"/>
      <c r="T30" s="9"/>
      <c r="U30" s="9"/>
      <c r="V30" s="9"/>
      <c r="W30" s="10"/>
      <c r="X30" s="10"/>
      <c r="Y30" s="9"/>
      <c r="Z30" s="9"/>
      <c r="AA30" s="9"/>
      <c r="AB30" s="9"/>
      <c r="AC30" s="9"/>
      <c r="AD30" s="10"/>
      <c r="AE30" s="10"/>
      <c r="AF30" s="9"/>
      <c r="AG30" s="11" t="n">
        <f aca="false">(COUNTIF(C30:AF30,"H")*1)+(COUNTIF(C30:AF30,"H1")*0.5)+(COUNTIF(C30:AF30,"H2")*0.5)+(COUNTIF(C30:AF30,"Q")*0.25)+(COUNTIF(C30:AF30,"I")*1)+(COUNTIF(C30:AF30,"S")*0)+(COUNTIF(C30:AF30,"M")*1)+(COUNTIF(C30:AF30,"C")*0)+(COUNTIF(C30:AF30,"V")*1)+(COUNTIF(C30:AF30,"A")*1)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10"/>
      <c r="D31" s="9"/>
      <c r="E31" s="9"/>
      <c r="F31" s="9"/>
      <c r="G31" s="9"/>
      <c r="H31" s="9"/>
      <c r="I31" s="10"/>
      <c r="J31" s="10"/>
      <c r="K31" s="9"/>
      <c r="L31" s="9"/>
      <c r="M31" s="9"/>
      <c r="N31" s="9"/>
      <c r="O31" s="9"/>
      <c r="P31" s="10"/>
      <c r="Q31" s="10"/>
      <c r="R31" s="9"/>
      <c r="S31" s="9"/>
      <c r="T31" s="9"/>
      <c r="U31" s="9"/>
      <c r="V31" s="9"/>
      <c r="W31" s="10"/>
      <c r="X31" s="10"/>
      <c r="Y31" s="9"/>
      <c r="Z31" s="9"/>
      <c r="AA31" s="9"/>
      <c r="AB31" s="9"/>
      <c r="AC31" s="9"/>
      <c r="AD31" s="10"/>
      <c r="AE31" s="10"/>
      <c r="AF31" s="9"/>
      <c r="AG31" s="11" t="n">
        <f aca="false">(COUNTIF(C31:AF31,"H")*1)+(COUNTIF(C31:AF31,"H1")*0.5)+(COUNTIF(C31:AF31,"H2")*0.5)+(COUNTIF(C31:AF31,"Q")*0.25)+(COUNTIF(C31:AF31,"I")*1)+(COUNTIF(C31:AF31,"S")*0)+(COUNTIF(C31:AF31,"M")*1)+(COUNTIF(C31:AF31,"C")*0)+(COUNTIF(C31:AF31,"V")*1)+(COUNTIF(C31:AF31,"A")*1)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10"/>
      <c r="D32" s="9"/>
      <c r="E32" s="9"/>
      <c r="F32" s="9"/>
      <c r="G32" s="9"/>
      <c r="H32" s="9"/>
      <c r="I32" s="10"/>
      <c r="J32" s="10"/>
      <c r="K32" s="9"/>
      <c r="L32" s="9"/>
      <c r="M32" s="9"/>
      <c r="N32" s="9"/>
      <c r="O32" s="9"/>
      <c r="P32" s="10"/>
      <c r="Q32" s="10"/>
      <c r="R32" s="9"/>
      <c r="S32" s="9"/>
      <c r="T32" s="9"/>
      <c r="U32" s="9"/>
      <c r="V32" s="9"/>
      <c r="W32" s="10"/>
      <c r="X32" s="10"/>
      <c r="Y32" s="9"/>
      <c r="Z32" s="9"/>
      <c r="AA32" s="9"/>
      <c r="AB32" s="9"/>
      <c r="AC32" s="9"/>
      <c r="AD32" s="10"/>
      <c r="AE32" s="10"/>
      <c r="AF32" s="9"/>
      <c r="AG32" s="11" t="n">
        <f aca="false">(COUNTIF(C32:AF32,"H")*1)+(COUNTIF(C32:AF32,"H1")*0.5)+(COUNTIF(C32:AF32,"H2")*0.5)+(COUNTIF(C32:AF32,"Q")*0.25)+(COUNTIF(C32:AF32,"I")*1)+(COUNTIF(C32:AF32,"S")*0)+(COUNTIF(C32:AF32,"M")*1)+(COUNTIF(C32:AF32,"C")*0)+(COUNTIF(C32:AF32,"V")*1)+(COUNTIF(C32:AF32,"A")*1)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10"/>
      <c r="D33" s="9"/>
      <c r="E33" s="9"/>
      <c r="F33" s="9"/>
      <c r="G33" s="9"/>
      <c r="H33" s="9"/>
      <c r="I33" s="10"/>
      <c r="J33" s="10"/>
      <c r="K33" s="9"/>
      <c r="L33" s="9"/>
      <c r="M33" s="9"/>
      <c r="N33" s="9"/>
      <c r="O33" s="9"/>
      <c r="P33" s="10"/>
      <c r="Q33" s="10"/>
      <c r="R33" s="9"/>
      <c r="S33" s="9"/>
      <c r="T33" s="9"/>
      <c r="U33" s="9"/>
      <c r="V33" s="9"/>
      <c r="W33" s="10"/>
      <c r="X33" s="10"/>
      <c r="Y33" s="9"/>
      <c r="Z33" s="9"/>
      <c r="AA33" s="9"/>
      <c r="AB33" s="9"/>
      <c r="AC33" s="9"/>
      <c r="AD33" s="10"/>
      <c r="AE33" s="10"/>
      <c r="AF33" s="9"/>
      <c r="AG33" s="11" t="n">
        <f aca="false">(COUNTIF(C33:AF33,"H")*1)+(COUNTIF(C33:AF33,"H1")*0.5)+(COUNTIF(C33:AF33,"H2")*0.5)+(COUNTIF(C33:AF33,"Q")*0.25)+(COUNTIF(C33:AF33,"I")*1)+(COUNTIF(C33:AF33,"S")*0)+(COUNTIF(C33:AF33,"M")*1)+(COUNTIF(C33:AF33,"C")*0)+(COUNTIF(C33:AF33,"V")*1)+(COUNTIF(C33:AF33,"A")*1)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10"/>
      <c r="D34" s="9"/>
      <c r="E34" s="9"/>
      <c r="F34" s="9"/>
      <c r="G34" s="9"/>
      <c r="H34" s="9"/>
      <c r="I34" s="10"/>
      <c r="J34" s="10"/>
      <c r="K34" s="9"/>
      <c r="L34" s="9"/>
      <c r="M34" s="9"/>
      <c r="N34" s="9"/>
      <c r="O34" s="9"/>
      <c r="P34" s="10"/>
      <c r="Q34" s="10"/>
      <c r="R34" s="9"/>
      <c r="S34" s="9"/>
      <c r="T34" s="9"/>
      <c r="U34" s="9"/>
      <c r="V34" s="9"/>
      <c r="W34" s="10"/>
      <c r="X34" s="10"/>
      <c r="Y34" s="9"/>
      <c r="Z34" s="9"/>
      <c r="AA34" s="9"/>
      <c r="AB34" s="9"/>
      <c r="AC34" s="9"/>
      <c r="AD34" s="10"/>
      <c r="AE34" s="10"/>
      <c r="AF34" s="9"/>
      <c r="AG34" s="11" t="n">
        <f aca="false">(COUNTIF(C34:AF34,"H")*1)+(COUNTIF(C34:AF34,"H1")*0.5)+(COUNTIF(C34:AF34,"H2")*0.5)+(COUNTIF(C34:AF34,"Q")*0.25)+(COUNTIF(C34:AF34,"I")*1)+(COUNTIF(C34:AF34,"S")*0)+(COUNTIF(C34:AF34,"M")*1)+(COUNTIF(C34:AF34,"C")*0)+(COUNTIF(C34:AF34,"V")*1)+(COUNTIF(C34:AF34,"A")*1)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10"/>
      <c r="D35" s="9"/>
      <c r="E35" s="9"/>
      <c r="F35" s="9"/>
      <c r="G35" s="9"/>
      <c r="H35" s="9"/>
      <c r="I35" s="10"/>
      <c r="J35" s="10"/>
      <c r="K35" s="9"/>
      <c r="L35" s="9"/>
      <c r="M35" s="9"/>
      <c r="N35" s="9"/>
      <c r="O35" s="9"/>
      <c r="P35" s="10"/>
      <c r="Q35" s="10"/>
      <c r="R35" s="9"/>
      <c r="S35" s="9"/>
      <c r="T35" s="9"/>
      <c r="U35" s="9"/>
      <c r="V35" s="9"/>
      <c r="W35" s="10"/>
      <c r="X35" s="10"/>
      <c r="Y35" s="9"/>
      <c r="Z35" s="9"/>
      <c r="AA35" s="9"/>
      <c r="AB35" s="9"/>
      <c r="AC35" s="9"/>
      <c r="AD35" s="10"/>
      <c r="AE35" s="10"/>
      <c r="AF35" s="9"/>
      <c r="AG35" s="11" t="n">
        <f aca="false">(COUNTIF(C35:AF35,"H")*1)+(COUNTIF(C35:AF35,"H1")*0.5)+(COUNTIF(C35:AF35,"H2")*0.5)+(COUNTIF(C35:AF35,"Q")*0.25)+(COUNTIF(C35:AF35,"I")*1)+(COUNTIF(C35:AF35,"S")*0)+(COUNTIF(C35:AF35,"M")*1)+(COUNTIF(C35:AF35,"C")*0)+(COUNTIF(C35:AF35,"V")*1)+(COUNTIF(C35:AF35,"A")*1)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10"/>
      <c r="D36" s="9"/>
      <c r="E36" s="9"/>
      <c r="F36" s="9"/>
      <c r="G36" s="9"/>
      <c r="H36" s="9"/>
      <c r="I36" s="10"/>
      <c r="J36" s="10"/>
      <c r="K36" s="9"/>
      <c r="L36" s="9"/>
      <c r="M36" s="9"/>
      <c r="N36" s="9"/>
      <c r="O36" s="9"/>
      <c r="P36" s="10"/>
      <c r="Q36" s="10"/>
      <c r="R36" s="9"/>
      <c r="S36" s="9"/>
      <c r="T36" s="9"/>
      <c r="U36" s="9"/>
      <c r="V36" s="9"/>
      <c r="W36" s="10"/>
      <c r="X36" s="10"/>
      <c r="Y36" s="9"/>
      <c r="Z36" s="9"/>
      <c r="AA36" s="9"/>
      <c r="AB36" s="9"/>
      <c r="AC36" s="9"/>
      <c r="AD36" s="10"/>
      <c r="AE36" s="10"/>
      <c r="AF36" s="9"/>
      <c r="AG36" s="11" t="n">
        <f aca="false">(COUNTIF(C36:AF36,"H")*1)+(COUNTIF(C36:AF36,"H1")*0.5)+(COUNTIF(C36:AF36,"H2")*0.5)+(COUNTIF(C36:AF36,"Q")*0.25)+(COUNTIF(C36:AF36,"I")*1)+(COUNTIF(C36:AF36,"S")*0)+(COUNTIF(C36:AF36,"M")*1)+(COUNTIF(C36:AF36,"C")*0)+(COUNTIF(C36:AF36,"V")*1)+(COUNTIF(C36:AF36,"A")*1)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10"/>
      <c r="D37" s="9"/>
      <c r="E37" s="9"/>
      <c r="F37" s="9"/>
      <c r="G37" s="9"/>
      <c r="H37" s="9"/>
      <c r="I37" s="10"/>
      <c r="J37" s="10"/>
      <c r="K37" s="9"/>
      <c r="L37" s="9"/>
      <c r="M37" s="9"/>
      <c r="N37" s="9"/>
      <c r="O37" s="9"/>
      <c r="P37" s="10"/>
      <c r="Q37" s="10"/>
      <c r="R37" s="9"/>
      <c r="S37" s="9"/>
      <c r="T37" s="9"/>
      <c r="U37" s="9"/>
      <c r="V37" s="9"/>
      <c r="W37" s="10"/>
      <c r="X37" s="10"/>
      <c r="Y37" s="9"/>
      <c r="Z37" s="9"/>
      <c r="AA37" s="9"/>
      <c r="AB37" s="9"/>
      <c r="AC37" s="9"/>
      <c r="AD37" s="10"/>
      <c r="AE37" s="10"/>
      <c r="AF37" s="9"/>
      <c r="AG37" s="11" t="n">
        <f aca="false">(COUNTIF(C37:AF37,"H")*1)+(COUNTIF(C37:AF37,"H1")*0.5)+(COUNTIF(C37:AF37,"H2")*0.5)+(COUNTIF(C37:AF37,"Q")*0.25)+(COUNTIF(C37:AF37,"I")*1)+(COUNTIF(C37:AF37,"S")*0)+(COUNTIF(C37:AF37,"M")*1)+(COUNTIF(C37:AF37,"C")*0)+(COUNTIF(C37:AF37,"V")*1)+(COUNTIF(C37:AF37,"A")*1)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10"/>
      <c r="D38" s="9"/>
      <c r="E38" s="9"/>
      <c r="F38" s="9"/>
      <c r="G38" s="9"/>
      <c r="H38" s="9"/>
      <c r="I38" s="10"/>
      <c r="J38" s="10"/>
      <c r="K38" s="9"/>
      <c r="L38" s="9"/>
      <c r="M38" s="9"/>
      <c r="N38" s="9"/>
      <c r="O38" s="9"/>
      <c r="P38" s="10"/>
      <c r="Q38" s="10"/>
      <c r="R38" s="9"/>
      <c r="S38" s="9"/>
      <c r="T38" s="9"/>
      <c r="U38" s="9"/>
      <c r="V38" s="9"/>
      <c r="W38" s="10"/>
      <c r="X38" s="10"/>
      <c r="Y38" s="9"/>
      <c r="Z38" s="9"/>
      <c r="AA38" s="9"/>
      <c r="AB38" s="9"/>
      <c r="AC38" s="9"/>
      <c r="AD38" s="10"/>
      <c r="AE38" s="10"/>
      <c r="AF38" s="9"/>
      <c r="AG38" s="11" t="n">
        <f aca="false">(COUNTIF(C38:AF38,"H")*1)+(COUNTIF(C38:AF38,"H1")*0.5)+(COUNTIF(C38:AF38,"H2")*0.5)+(COUNTIF(C38:AF38,"Q")*0.25)+(COUNTIF(C38:AF38,"I")*1)+(COUNTIF(C38:AF38,"S")*0)+(COUNTIF(C38:AF38,"M")*1)+(COUNTIF(C38:AF38,"C")*0)+(COUNTIF(C38:AF38,"V")*1)+(COUNTIF(C38:AF38,"A")*1)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10"/>
      <c r="D39" s="9"/>
      <c r="E39" s="9"/>
      <c r="F39" s="9"/>
      <c r="G39" s="9"/>
      <c r="H39" s="9"/>
      <c r="I39" s="10"/>
      <c r="J39" s="10"/>
      <c r="K39" s="9"/>
      <c r="L39" s="9"/>
      <c r="M39" s="9"/>
      <c r="N39" s="9"/>
      <c r="O39" s="9"/>
      <c r="P39" s="10"/>
      <c r="Q39" s="10"/>
      <c r="R39" s="9"/>
      <c r="S39" s="9"/>
      <c r="T39" s="9"/>
      <c r="U39" s="9"/>
      <c r="V39" s="9"/>
      <c r="W39" s="10"/>
      <c r="X39" s="10"/>
      <c r="Y39" s="9"/>
      <c r="Z39" s="9"/>
      <c r="AA39" s="9"/>
      <c r="AB39" s="9"/>
      <c r="AC39" s="9"/>
      <c r="AD39" s="10"/>
      <c r="AE39" s="10"/>
      <c r="AF39" s="9"/>
      <c r="AG39" s="11" t="n">
        <f aca="false">(COUNTIF(C39:AF39,"H")*1)+(COUNTIF(C39:AF39,"H1")*0.5)+(COUNTIF(C39:AF39,"H2")*0.5)+(COUNTIF(C39:AF39,"Q")*0.25)+(COUNTIF(C39:AF39,"I")*1)+(COUNTIF(C39:AF39,"S")*0)+(COUNTIF(C39:AF39,"M")*1)+(COUNTIF(C39:AF39,"C")*0)+(COUNTIF(C39:AF39,"V")*1)+(COUNTIF(C39:AF39,"A")*1)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10"/>
      <c r="D40" s="9"/>
      <c r="E40" s="9"/>
      <c r="F40" s="9"/>
      <c r="G40" s="9"/>
      <c r="H40" s="9"/>
      <c r="I40" s="10"/>
      <c r="J40" s="10"/>
      <c r="K40" s="9"/>
      <c r="L40" s="9"/>
      <c r="M40" s="9"/>
      <c r="N40" s="9"/>
      <c r="O40" s="9"/>
      <c r="P40" s="10"/>
      <c r="Q40" s="10"/>
      <c r="R40" s="9"/>
      <c r="S40" s="9"/>
      <c r="T40" s="9"/>
      <c r="U40" s="9"/>
      <c r="V40" s="9"/>
      <c r="W40" s="10"/>
      <c r="X40" s="10"/>
      <c r="Y40" s="9"/>
      <c r="Z40" s="9"/>
      <c r="AA40" s="9"/>
      <c r="AB40" s="9"/>
      <c r="AC40" s="9"/>
      <c r="AD40" s="10"/>
      <c r="AE40" s="10"/>
      <c r="AF40" s="9"/>
      <c r="AG40" s="11" t="n">
        <f aca="false">(COUNTIF(C40:AF40,"H")*1)+(COUNTIF(C40:AF40,"H1")*0.5)+(COUNTIF(C40:AF40,"H2")*0.5)+(COUNTIF(C40:AF40,"Q")*0.25)+(COUNTIF(C40:AF40,"I")*1)+(COUNTIF(C40:AF40,"S")*0)+(COUNTIF(C40:AF40,"M")*1)+(COUNTIF(C40:AF40,"C")*0)+(COUNTIF(C40:AF40,"V")*1)+(COUNTIF(C40:AF40,"A")*1)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10"/>
      <c r="D41" s="9"/>
      <c r="E41" s="9"/>
      <c r="F41" s="9"/>
      <c r="G41" s="9"/>
      <c r="H41" s="9"/>
      <c r="I41" s="10"/>
      <c r="J41" s="10"/>
      <c r="K41" s="9"/>
      <c r="L41" s="9"/>
      <c r="M41" s="9"/>
      <c r="N41" s="9"/>
      <c r="O41" s="9"/>
      <c r="P41" s="10"/>
      <c r="Q41" s="10"/>
      <c r="R41" s="9"/>
      <c r="S41" s="9"/>
      <c r="T41" s="9"/>
      <c r="U41" s="9"/>
      <c r="V41" s="9"/>
      <c r="W41" s="10"/>
      <c r="X41" s="10"/>
      <c r="Y41" s="9"/>
      <c r="Z41" s="9"/>
      <c r="AA41" s="9"/>
      <c r="AB41" s="9"/>
      <c r="AC41" s="9"/>
      <c r="AD41" s="10"/>
      <c r="AE41" s="10"/>
      <c r="AF41" s="9"/>
      <c r="AG41" s="11" t="n">
        <f aca="false">(COUNTIF(C41:AF41,"H")*1)+(COUNTIF(C41:AF41,"H1")*0.5)+(COUNTIF(C41:AF41,"H2")*0.5)+(COUNTIF(C41:AF41,"Q")*0.25)+(COUNTIF(C41:AF41,"I")*1)+(COUNTIF(C41:AF41,"S")*0)+(COUNTIF(C41:AF41,"M")*1)+(COUNTIF(C41:AF41,"C")*0)+(COUNTIF(C41:AF41,"V")*1)+(COUNTIF(C41:AF41,"A")*1)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10"/>
      <c r="D42" s="9"/>
      <c r="E42" s="9"/>
      <c r="F42" s="9"/>
      <c r="G42" s="9"/>
      <c r="H42" s="9"/>
      <c r="I42" s="10"/>
      <c r="J42" s="10"/>
      <c r="K42" s="9"/>
      <c r="L42" s="9"/>
      <c r="M42" s="9"/>
      <c r="N42" s="9"/>
      <c r="O42" s="9"/>
      <c r="P42" s="10"/>
      <c r="Q42" s="10"/>
      <c r="R42" s="9"/>
      <c r="S42" s="9"/>
      <c r="T42" s="9"/>
      <c r="U42" s="9"/>
      <c r="V42" s="9"/>
      <c r="W42" s="10"/>
      <c r="X42" s="10"/>
      <c r="Y42" s="9"/>
      <c r="Z42" s="9"/>
      <c r="AA42" s="9"/>
      <c r="AB42" s="9"/>
      <c r="AC42" s="9"/>
      <c r="AD42" s="10"/>
      <c r="AE42" s="10"/>
      <c r="AF42" s="9"/>
      <c r="AG42" s="11" t="n">
        <f aca="false">(COUNTIF(C42:AF42,"H")*1)+(COUNTIF(C42:AF42,"H1")*0.5)+(COUNTIF(C42:AF42,"H2")*0.5)+(COUNTIF(C42:AF42,"Q")*0.25)+(COUNTIF(C42:AF42,"I")*1)+(COUNTIF(C42:AF42,"S")*0)+(COUNTIF(C42:AF42,"M")*1)+(COUNTIF(C42:AF42,"C")*0)+(COUNTIF(C42:AF42,"V")*1)+(COUNTIF(C42:AF42,"A")*1)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10"/>
      <c r="D43" s="9"/>
      <c r="E43" s="9"/>
      <c r="F43" s="9"/>
      <c r="G43" s="9"/>
      <c r="H43" s="9"/>
      <c r="I43" s="10"/>
      <c r="J43" s="10"/>
      <c r="K43" s="9"/>
      <c r="L43" s="9"/>
      <c r="M43" s="9"/>
      <c r="N43" s="9"/>
      <c r="O43" s="9"/>
      <c r="P43" s="10"/>
      <c r="Q43" s="10"/>
      <c r="R43" s="9"/>
      <c r="S43" s="9"/>
      <c r="T43" s="9"/>
      <c r="U43" s="9"/>
      <c r="V43" s="9"/>
      <c r="W43" s="10"/>
      <c r="X43" s="10"/>
      <c r="Y43" s="9"/>
      <c r="Z43" s="9"/>
      <c r="AA43" s="9"/>
      <c r="AB43" s="9"/>
      <c r="AC43" s="9"/>
      <c r="AD43" s="10"/>
      <c r="AE43" s="10"/>
      <c r="AF43" s="9"/>
      <c r="AG43" s="11" t="n">
        <f aca="false">(COUNTIF(C43:AF43,"H")*1)+(COUNTIF(C43:AF43,"H1")*0.5)+(COUNTIF(C43:AF43,"H2")*0.5)+(COUNTIF(C43:AF43,"Q")*0.25)+(COUNTIF(C43:AF43,"I")*1)+(COUNTIF(C43:AF43,"S")*0)+(COUNTIF(C43:AF43,"M")*1)+(COUNTIF(C43:AF43,"C")*0)+(COUNTIF(C43:AF43,"V")*1)+(COUNTIF(C43:AF43,"A")*1)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10"/>
      <c r="D44" s="9"/>
      <c r="E44" s="9"/>
      <c r="F44" s="9"/>
      <c r="G44" s="9"/>
      <c r="H44" s="9"/>
      <c r="I44" s="10"/>
      <c r="J44" s="10"/>
      <c r="K44" s="9"/>
      <c r="L44" s="9"/>
      <c r="M44" s="9"/>
      <c r="N44" s="9"/>
      <c r="O44" s="9"/>
      <c r="P44" s="10"/>
      <c r="Q44" s="10"/>
      <c r="R44" s="9"/>
      <c r="S44" s="9"/>
      <c r="T44" s="9"/>
      <c r="U44" s="9"/>
      <c r="V44" s="9"/>
      <c r="W44" s="10"/>
      <c r="X44" s="10"/>
      <c r="Y44" s="9"/>
      <c r="Z44" s="9"/>
      <c r="AA44" s="9"/>
      <c r="AB44" s="9"/>
      <c r="AC44" s="9"/>
      <c r="AD44" s="10"/>
      <c r="AE44" s="10"/>
      <c r="AF44" s="9"/>
      <c r="AG44" s="11" t="n">
        <f aca="false">(COUNTIF(C44:AF44,"H")*1)+(COUNTIF(C44:AF44,"H1")*0.5)+(COUNTIF(C44:AF44,"H2")*0.5)+(COUNTIF(C44:AF44,"Q")*0.25)+(COUNTIF(C44:AF44,"I")*1)+(COUNTIF(C44:AF44,"S")*0)+(COUNTIF(C44:AF44,"M")*1)+(COUNTIF(C44:AF44,"C")*0)+(COUNTIF(C44:AF44,"V")*1)+(COUNTIF(C44:AF44,"A")*1)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10"/>
      <c r="D45" s="9"/>
      <c r="E45" s="9"/>
      <c r="F45" s="9"/>
      <c r="G45" s="9"/>
      <c r="H45" s="9"/>
      <c r="I45" s="10"/>
      <c r="J45" s="10"/>
      <c r="K45" s="9"/>
      <c r="L45" s="9"/>
      <c r="M45" s="9"/>
      <c r="N45" s="9"/>
      <c r="O45" s="9"/>
      <c r="P45" s="10"/>
      <c r="Q45" s="10"/>
      <c r="R45" s="9"/>
      <c r="S45" s="9"/>
      <c r="T45" s="9"/>
      <c r="U45" s="9"/>
      <c r="V45" s="9"/>
      <c r="W45" s="10"/>
      <c r="X45" s="10"/>
      <c r="Y45" s="9"/>
      <c r="Z45" s="9"/>
      <c r="AA45" s="9"/>
      <c r="AB45" s="9"/>
      <c r="AC45" s="9"/>
      <c r="AD45" s="10"/>
      <c r="AE45" s="10"/>
      <c r="AF45" s="9"/>
      <c r="AG45" s="11" t="n">
        <f aca="false">(COUNTIF(C45:AF45,"H")*1)+(COUNTIF(C45:AF45,"H1")*0.5)+(COUNTIF(C45:AF45,"H2")*0.5)+(COUNTIF(C45:AF45,"Q")*0.25)+(COUNTIF(C45:AF45,"I")*1)+(COUNTIF(C45:AF45,"S")*0)+(COUNTIF(C45:AF45,"M")*1)+(COUNTIF(C45:AF45,"C")*0)+(COUNTIF(C45:AF45,"V")*1)+(COUNTIF(C45:AF45,"A")*1)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10"/>
      <c r="D46" s="9"/>
      <c r="E46" s="9"/>
      <c r="F46" s="9"/>
      <c r="G46" s="9"/>
      <c r="H46" s="9"/>
      <c r="I46" s="10"/>
      <c r="J46" s="10"/>
      <c r="K46" s="9"/>
      <c r="L46" s="9"/>
      <c r="M46" s="9"/>
      <c r="N46" s="9"/>
      <c r="O46" s="9"/>
      <c r="P46" s="10"/>
      <c r="Q46" s="10"/>
      <c r="R46" s="9"/>
      <c r="S46" s="9"/>
      <c r="T46" s="9"/>
      <c r="U46" s="9"/>
      <c r="V46" s="9"/>
      <c r="W46" s="10"/>
      <c r="X46" s="10"/>
      <c r="Y46" s="9"/>
      <c r="Z46" s="9"/>
      <c r="AA46" s="9"/>
      <c r="AB46" s="9"/>
      <c r="AC46" s="9"/>
      <c r="AD46" s="10"/>
      <c r="AE46" s="10"/>
      <c r="AF46" s="9"/>
      <c r="AG46" s="11" t="n">
        <f aca="false">(COUNTIF(C46:AF46,"H")*1)+(COUNTIF(C46:AF46,"H1")*0.5)+(COUNTIF(C46:AF46,"H2")*0.5)+(COUNTIF(C46:AF46,"Q")*0.25)+(COUNTIF(C46:AF46,"I")*1)+(COUNTIF(C46:AF46,"S")*0)+(COUNTIF(C46:AF46,"M")*1)+(COUNTIF(C46:AF46,"C")*0)+(COUNTIF(C46:AF46,"V")*1)+(COUNTIF(C46:AF46,"A")*1)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10"/>
      <c r="D47" s="9"/>
      <c r="E47" s="9"/>
      <c r="F47" s="9"/>
      <c r="G47" s="9"/>
      <c r="H47" s="9"/>
      <c r="I47" s="10"/>
      <c r="J47" s="10"/>
      <c r="K47" s="9"/>
      <c r="L47" s="9"/>
      <c r="M47" s="9"/>
      <c r="N47" s="9"/>
      <c r="O47" s="9"/>
      <c r="P47" s="10"/>
      <c r="Q47" s="10"/>
      <c r="R47" s="9"/>
      <c r="S47" s="9"/>
      <c r="T47" s="9"/>
      <c r="U47" s="9"/>
      <c r="V47" s="9"/>
      <c r="W47" s="10"/>
      <c r="X47" s="10"/>
      <c r="Y47" s="9"/>
      <c r="Z47" s="9"/>
      <c r="AA47" s="9"/>
      <c r="AB47" s="9"/>
      <c r="AC47" s="9"/>
      <c r="AD47" s="10"/>
      <c r="AE47" s="10"/>
      <c r="AF47" s="9"/>
      <c r="AG47" s="11" t="n">
        <f aca="false">(COUNTIF(C47:AF47,"H")*1)+(COUNTIF(C47:AF47,"H1")*0.5)+(COUNTIF(C47:AF47,"H2")*0.5)+(COUNTIF(C47:AF47,"Q")*0.25)+(COUNTIF(C47:AF47,"I")*1)+(COUNTIF(C47:AF47,"S")*0)+(COUNTIF(C47:AF47,"M")*1)+(COUNTIF(C47:AF47,"C")*0)+(COUNTIF(C47:AF47,"V")*1)+(COUNTIF(C47:AF47,"A")*1)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10"/>
      <c r="D48" s="9"/>
      <c r="E48" s="9"/>
      <c r="F48" s="9"/>
      <c r="G48" s="9"/>
      <c r="H48" s="9"/>
      <c r="I48" s="10"/>
      <c r="J48" s="10"/>
      <c r="K48" s="9"/>
      <c r="L48" s="9"/>
      <c r="M48" s="9"/>
      <c r="N48" s="9"/>
      <c r="O48" s="9"/>
      <c r="P48" s="10"/>
      <c r="Q48" s="10"/>
      <c r="R48" s="9"/>
      <c r="S48" s="9"/>
      <c r="T48" s="9"/>
      <c r="U48" s="9"/>
      <c r="V48" s="9"/>
      <c r="W48" s="10"/>
      <c r="X48" s="10"/>
      <c r="Y48" s="9"/>
      <c r="Z48" s="9"/>
      <c r="AA48" s="9"/>
      <c r="AB48" s="9"/>
      <c r="AC48" s="9"/>
      <c r="AD48" s="10"/>
      <c r="AE48" s="10"/>
      <c r="AF48" s="9"/>
      <c r="AG48" s="11" t="n">
        <f aca="false">(COUNTIF(C48:AF48,"H")*1)+(COUNTIF(C48:AF48,"H1")*0.5)+(COUNTIF(C48:AF48,"H2")*0.5)+(COUNTIF(C48:AF48,"Q")*0.25)+(COUNTIF(C48:AF48,"I")*1)+(COUNTIF(C48:AF48,"S")*0)+(COUNTIF(C48:AF48,"M")*1)+(COUNTIF(C48:AF48,"C")*0)+(COUNTIF(C48:AF48,"V")*1)+(COUNTIF(C48:AF48,"A")*1)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10"/>
      <c r="D49" s="9"/>
      <c r="E49" s="9"/>
      <c r="F49" s="9"/>
      <c r="G49" s="9"/>
      <c r="H49" s="9"/>
      <c r="I49" s="10"/>
      <c r="J49" s="10"/>
      <c r="K49" s="9"/>
      <c r="L49" s="9"/>
      <c r="M49" s="9"/>
      <c r="N49" s="9"/>
      <c r="O49" s="9"/>
      <c r="P49" s="10"/>
      <c r="Q49" s="10"/>
      <c r="R49" s="9"/>
      <c r="S49" s="9"/>
      <c r="T49" s="9"/>
      <c r="U49" s="9"/>
      <c r="V49" s="9"/>
      <c r="W49" s="10"/>
      <c r="X49" s="10"/>
      <c r="Y49" s="9"/>
      <c r="Z49" s="9"/>
      <c r="AA49" s="9"/>
      <c r="AB49" s="9"/>
      <c r="AC49" s="9"/>
      <c r="AD49" s="10"/>
      <c r="AE49" s="10"/>
      <c r="AF49" s="9"/>
      <c r="AG49" s="11" t="n">
        <f aca="false">(COUNTIF(C49:AF49,"H")*1)+(COUNTIF(C49:AF49,"H1")*0.5)+(COUNTIF(C49:AF49,"H2")*0.5)+(COUNTIF(C49:AF49,"Q")*0.25)+(COUNTIF(C49:AF49,"I")*1)+(COUNTIF(C49:AF49,"S")*0)+(COUNTIF(C49:AF49,"M")*1)+(COUNTIF(C49:AF49,"C")*0)+(COUNTIF(C49:AF49,"V")*1)+(COUNTIF(C49:AF49,"A")*1)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10"/>
      <c r="D50" s="9"/>
      <c r="E50" s="9"/>
      <c r="F50" s="9"/>
      <c r="G50" s="9"/>
      <c r="H50" s="9"/>
      <c r="I50" s="10"/>
      <c r="J50" s="10"/>
      <c r="K50" s="9"/>
      <c r="L50" s="9"/>
      <c r="M50" s="9"/>
      <c r="N50" s="9"/>
      <c r="O50" s="9"/>
      <c r="P50" s="10"/>
      <c r="Q50" s="10"/>
      <c r="R50" s="9"/>
      <c r="S50" s="9"/>
      <c r="T50" s="9"/>
      <c r="U50" s="9"/>
      <c r="V50" s="9"/>
      <c r="W50" s="10"/>
      <c r="X50" s="10"/>
      <c r="Y50" s="9"/>
      <c r="Z50" s="9"/>
      <c r="AA50" s="9"/>
      <c r="AB50" s="9"/>
      <c r="AC50" s="9"/>
      <c r="AD50" s="10"/>
      <c r="AE50" s="10"/>
      <c r="AF50" s="9"/>
      <c r="AG50" s="11" t="n">
        <f aca="false">(COUNTIF(C50:AF50,"H")*1)+(COUNTIF(C50:AF50,"H1")*0.5)+(COUNTIF(C50:AF50,"H2")*0.5)+(COUNTIF(C50:AF50,"Q")*0.25)+(COUNTIF(C50:AF50,"I")*1)+(COUNTIF(C50:AF50,"S")*0)+(COUNTIF(C50:AF50,"M")*1)+(COUNTIF(C50:AF50,"C")*0)+(COUNTIF(C50:AF50,"V")*1)+(COUNTIF(C50:AF50,"A")*1)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10"/>
      <c r="D51" s="9"/>
      <c r="E51" s="9"/>
      <c r="F51" s="9"/>
      <c r="G51" s="9"/>
      <c r="H51" s="9"/>
      <c r="I51" s="10"/>
      <c r="J51" s="10"/>
      <c r="K51" s="9"/>
      <c r="L51" s="9"/>
      <c r="M51" s="9"/>
      <c r="N51" s="9"/>
      <c r="O51" s="9"/>
      <c r="P51" s="10"/>
      <c r="Q51" s="10"/>
      <c r="R51" s="9"/>
      <c r="S51" s="9"/>
      <c r="T51" s="9"/>
      <c r="U51" s="9"/>
      <c r="V51" s="9"/>
      <c r="W51" s="10"/>
      <c r="X51" s="10"/>
      <c r="Y51" s="9"/>
      <c r="Z51" s="9"/>
      <c r="AA51" s="9"/>
      <c r="AB51" s="9"/>
      <c r="AC51" s="9"/>
      <c r="AD51" s="10"/>
      <c r="AE51" s="10"/>
      <c r="AF51" s="9"/>
      <c r="AG51" s="11" t="n">
        <f aca="false">(COUNTIF(C51:AF51,"H")*1)+(COUNTIF(C51:AF51,"H1")*0.5)+(COUNTIF(C51:AF51,"H2")*0.5)+(COUNTIF(C51:AF51,"Q")*0.25)+(COUNTIF(C51:AF51,"I")*1)+(COUNTIF(C51:AF51,"S")*0)+(COUNTIF(C51:AF51,"M")*1)+(COUNTIF(C51:AF51,"C")*0)+(COUNTIF(C51:AF51,"V")*1)+(COUNTIF(C51:AF51,"A")*1)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10"/>
      <c r="D52" s="9"/>
      <c r="E52" s="9"/>
      <c r="F52" s="9"/>
      <c r="G52" s="9"/>
      <c r="H52" s="9"/>
      <c r="I52" s="10"/>
      <c r="J52" s="10"/>
      <c r="K52" s="9"/>
      <c r="L52" s="9"/>
      <c r="M52" s="9"/>
      <c r="N52" s="9"/>
      <c r="O52" s="9"/>
      <c r="P52" s="10"/>
      <c r="Q52" s="10"/>
      <c r="R52" s="9"/>
      <c r="S52" s="9"/>
      <c r="T52" s="9"/>
      <c r="U52" s="9"/>
      <c r="V52" s="9"/>
      <c r="W52" s="10"/>
      <c r="X52" s="10"/>
      <c r="Y52" s="9"/>
      <c r="Z52" s="9"/>
      <c r="AA52" s="9"/>
      <c r="AB52" s="9"/>
      <c r="AC52" s="9"/>
      <c r="AD52" s="10"/>
      <c r="AE52" s="10"/>
      <c r="AF52" s="9"/>
      <c r="AG52" s="11" t="n">
        <f aca="false">(COUNTIF(C52:AF52,"H")*1)+(COUNTIF(C52:AF52,"H1")*0.5)+(COUNTIF(C52:AF52,"H2")*0.5)+(COUNTIF(C52:AF52,"Q")*0.25)+(COUNTIF(C52:AF52,"I")*1)+(COUNTIF(C52:AF52,"S")*0)+(COUNTIF(C52:AF52,"M")*1)+(COUNTIF(C52:AF52,"C")*0)+(COUNTIF(C52:AF52,"V")*1)+(COUNTIF(C52:AF52,"A")*1)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10"/>
      <c r="D53" s="9"/>
      <c r="E53" s="9"/>
      <c r="F53" s="9"/>
      <c r="G53" s="9"/>
      <c r="H53" s="9"/>
      <c r="I53" s="10"/>
      <c r="J53" s="10"/>
      <c r="K53" s="9"/>
      <c r="L53" s="9"/>
      <c r="M53" s="9"/>
      <c r="N53" s="9"/>
      <c r="O53" s="9"/>
      <c r="P53" s="10"/>
      <c r="Q53" s="10"/>
      <c r="R53" s="9"/>
      <c r="S53" s="9"/>
      <c r="T53" s="9"/>
      <c r="U53" s="9"/>
      <c r="V53" s="9"/>
      <c r="W53" s="10"/>
      <c r="X53" s="10"/>
      <c r="Y53" s="9"/>
      <c r="Z53" s="9"/>
      <c r="AA53" s="9"/>
      <c r="AB53" s="9"/>
      <c r="AC53" s="9"/>
      <c r="AD53" s="10"/>
      <c r="AE53" s="10"/>
      <c r="AF53" s="9"/>
      <c r="AG53" s="11" t="n">
        <f aca="false">(COUNTIF(C53:AF53,"H")*1)+(COUNTIF(C53:AF53,"H1")*0.5)+(COUNTIF(C53:AF53,"H2")*0.5)+(COUNTIF(C53:AF53,"Q")*0.25)+(COUNTIF(C53:AF53,"I")*1)+(COUNTIF(C53:AF53,"S")*0)+(COUNTIF(C53:AF53,"M")*1)+(COUNTIF(C53:AF53,"C")*0)+(COUNTIF(C53:AF53,"V")*1)+(COUNTIF(C53:AF53,"A")*1)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10"/>
      <c r="D54" s="9"/>
      <c r="E54" s="9"/>
      <c r="F54" s="9"/>
      <c r="G54" s="9"/>
      <c r="H54" s="9"/>
      <c r="I54" s="10"/>
      <c r="J54" s="10"/>
      <c r="K54" s="9"/>
      <c r="L54" s="9"/>
      <c r="M54" s="9"/>
      <c r="N54" s="9"/>
      <c r="O54" s="9"/>
      <c r="P54" s="10"/>
      <c r="Q54" s="10"/>
      <c r="R54" s="9"/>
      <c r="S54" s="9"/>
      <c r="T54" s="9"/>
      <c r="U54" s="9"/>
      <c r="V54" s="9"/>
      <c r="W54" s="10"/>
      <c r="X54" s="10"/>
      <c r="Y54" s="9"/>
      <c r="Z54" s="9"/>
      <c r="AA54" s="9"/>
      <c r="AB54" s="9"/>
      <c r="AC54" s="9"/>
      <c r="AD54" s="10"/>
      <c r="AE54" s="10"/>
      <c r="AF54" s="9"/>
      <c r="AG54" s="11" t="n">
        <f aca="false">(COUNTIF(C54:AF54,"H")*1)+(COUNTIF(C54:AF54,"H1")*0.5)+(COUNTIF(C54:AF54,"H2")*0.5)+(COUNTIF(C54:AF54,"Q")*0.25)+(COUNTIF(C54:AF54,"I")*1)+(COUNTIF(C54:AF54,"S")*0)+(COUNTIF(C54:AF54,"M")*1)+(COUNTIF(C54:AF54,"C")*0)+(COUNTIF(C54:AF54,"V")*1)+(COUNTIF(C54:AF54,"A")*1)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10"/>
      <c r="D55" s="9"/>
      <c r="E55" s="9"/>
      <c r="F55" s="9"/>
      <c r="G55" s="9"/>
      <c r="H55" s="9"/>
      <c r="I55" s="10"/>
      <c r="J55" s="10"/>
      <c r="K55" s="9"/>
      <c r="L55" s="9"/>
      <c r="M55" s="9"/>
      <c r="N55" s="9"/>
      <c r="O55" s="9"/>
      <c r="P55" s="10"/>
      <c r="Q55" s="10"/>
      <c r="R55" s="9"/>
      <c r="S55" s="9"/>
      <c r="T55" s="9"/>
      <c r="U55" s="9"/>
      <c r="V55" s="9"/>
      <c r="W55" s="10"/>
      <c r="X55" s="10"/>
      <c r="Y55" s="9"/>
      <c r="Z55" s="9"/>
      <c r="AA55" s="9"/>
      <c r="AB55" s="9"/>
      <c r="AC55" s="9"/>
      <c r="AD55" s="10"/>
      <c r="AE55" s="10"/>
      <c r="AF55" s="9"/>
      <c r="AG55" s="11" t="n">
        <f aca="false">(COUNTIF(C55:AF55,"H")*1)+(COUNTIF(C55:AF55,"H1")*0.5)+(COUNTIF(C55:AF55,"H2")*0.5)+(COUNTIF(C55:AF55,"Q")*0.25)+(COUNTIF(C55:AF55,"I")*1)+(COUNTIF(C55:AF55,"S")*0)+(COUNTIF(C55:AF55,"M")*1)+(COUNTIF(C55:AF55,"C")*0)+(COUNTIF(C55:AF55,"V")*1)+(COUNTIF(C55:AF55,"A")*1)</f>
        <v>0</v>
      </c>
    </row>
    <row r="57" customFormat="false" ht="15.75" hidden="false" customHeight="false" outlineLevel="0" collapsed="false">
      <c r="B57" s="24" t="s">
        <v>121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</sheetData>
  <mergeCells count="11">
    <mergeCell ref="C1:AF1"/>
    <mergeCell ref="D2:J2"/>
    <mergeCell ref="K2:Q2"/>
    <mergeCell ref="R2:X2"/>
    <mergeCell ref="Y2:AE2"/>
    <mergeCell ref="AG3:AG5"/>
    <mergeCell ref="AI3:AI5"/>
    <mergeCell ref="AJ3:AJ5"/>
    <mergeCell ref="AK3:AK5"/>
    <mergeCell ref="B57:AF57"/>
    <mergeCell ref="B58:AF58"/>
  </mergeCells>
  <conditionalFormatting sqref="C6:AF55">
    <cfRule type="expression" priority="2" aboveAverage="0" equalAverage="0" bottom="0" percent="0" rank="0" text="" dxfId="100">
      <formula>NOT(ISERROR(SEARCH("H1", C6)))</formula>
    </cfRule>
    <cfRule type="expression" priority="3" aboveAverage="0" equalAverage="0" bottom="0" percent="0" rank="0" text="" dxfId="101">
      <formula>NOT(ISERROR(SEARCH("H2", C6)))</formula>
    </cfRule>
    <cfRule type="expression" priority="4" aboveAverage="0" equalAverage="0" bottom="0" percent="0" rank="0" text="" dxfId="102">
      <formula>NOT(ISERROR(SEARCH("H", C6)))</formula>
    </cfRule>
    <cfRule type="expression" priority="5" aboveAverage="0" equalAverage="0" bottom="0" percent="0" rank="0" text="" dxfId="103">
      <formula>NOT(ISERROR(SEARCH("Q", C6)))</formula>
    </cfRule>
    <cfRule type="expression" priority="6" aboveAverage="0" equalAverage="0" bottom="0" percent="0" rank="0" text="" dxfId="104">
      <formula>NOT(ISERROR(SEARCH("I", C6)))</formula>
    </cfRule>
    <cfRule type="expression" priority="7" aboveAverage="0" equalAverage="0" bottom="0" percent="0" rank="0" text="" dxfId="105">
      <formula>NOT(ISERROR(SEARCH("S", C6)))</formula>
    </cfRule>
    <cfRule type="expression" priority="8" aboveAverage="0" equalAverage="0" bottom="0" percent="0" rank="0" text="" dxfId="106">
      <formula>NOT(ISERROR(SEARCH("M", C6)))</formula>
    </cfRule>
    <cfRule type="expression" priority="9" aboveAverage="0" equalAverage="0" bottom="0" percent="0" rank="0" text="" dxfId="107">
      <formula>NOT(ISERROR(SEARCH("C", C6)))</formula>
    </cfRule>
    <cfRule type="expression" priority="10" aboveAverage="0" equalAverage="0" bottom="0" percent="0" rank="0" text="" dxfId="108">
      <formula>NOT(ISERROR(SEARCH("V", C6)))</formula>
    </cfRule>
    <cfRule type="expression" priority="11" aboveAverage="0" equalAverage="0" bottom="0" percent="0" rank="0" text="" dxfId="10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E20" activeCellId="0" sqref="AE20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3.63"/>
    <col collapsed="false" customWidth="true" hidden="false" outlineLevel="0" max="33" min="3" style="0" width="4"/>
    <col collapsed="false" customWidth="true" hidden="false" outlineLevel="0" max="35" min="35" style="0" width="2"/>
    <col collapsed="false" customWidth="true" hidden="false" outlineLevel="0" max="36" min="36" style="0" width="20"/>
    <col collapsed="false" customWidth="true" hidden="false" outlineLevel="0" max="37" min="37" style="0" width="10"/>
    <col collapsed="false" customWidth="true" hidden="false" outlineLevel="0" max="39" min="39" style="0" width="15"/>
  </cols>
  <sheetData>
    <row r="1" customFormat="false" ht="12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12" hidden="false" customHeight="true" outlineLevel="0" collapsed="false">
      <c r="C2" s="1" t="s">
        <v>122</v>
      </c>
      <c r="D2" s="1"/>
      <c r="E2" s="1"/>
      <c r="F2" s="1"/>
      <c r="G2" s="1"/>
      <c r="H2" s="1"/>
      <c r="I2" s="1" t="s">
        <v>123</v>
      </c>
      <c r="J2" s="1"/>
      <c r="K2" s="1"/>
      <c r="L2" s="1"/>
      <c r="M2" s="1"/>
      <c r="N2" s="1"/>
      <c r="O2" s="1"/>
      <c r="P2" s="1" t="s">
        <v>124</v>
      </c>
      <c r="Q2" s="1"/>
      <c r="R2" s="1"/>
      <c r="S2" s="1"/>
      <c r="T2" s="1"/>
      <c r="U2" s="1"/>
      <c r="V2" s="1"/>
      <c r="W2" s="1" t="s">
        <v>125</v>
      </c>
      <c r="X2" s="1"/>
      <c r="Y2" s="1"/>
      <c r="Z2" s="1"/>
      <c r="AA2" s="1"/>
      <c r="AB2" s="1"/>
      <c r="AC2" s="1"/>
      <c r="AD2" s="1" t="s">
        <v>126</v>
      </c>
      <c r="AE2" s="1"/>
      <c r="AF2" s="1"/>
      <c r="AG2" s="1"/>
    </row>
    <row r="3" customFormat="false" ht="12" hidden="false" customHeight="true" outlineLevel="0" collapsed="false">
      <c r="B3" s="2"/>
      <c r="C3" s="3" t="s">
        <v>127</v>
      </c>
      <c r="D3" s="3" t="s">
        <v>127</v>
      </c>
      <c r="E3" s="3" t="s">
        <v>127</v>
      </c>
      <c r="F3" s="3" t="s">
        <v>127</v>
      </c>
      <c r="G3" s="3" t="s">
        <v>127</v>
      </c>
      <c r="H3" s="3" t="s">
        <v>127</v>
      </c>
      <c r="I3" s="3" t="s">
        <v>127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127</v>
      </c>
      <c r="P3" s="3" t="s">
        <v>127</v>
      </c>
      <c r="Q3" s="3" t="s">
        <v>127</v>
      </c>
      <c r="R3" s="3" t="s">
        <v>127</v>
      </c>
      <c r="S3" s="3" t="s">
        <v>127</v>
      </c>
      <c r="T3" s="3" t="s">
        <v>127</v>
      </c>
      <c r="U3" s="3" t="s">
        <v>127</v>
      </c>
      <c r="V3" s="3" t="s">
        <v>127</v>
      </c>
      <c r="W3" s="3" t="s">
        <v>127</v>
      </c>
      <c r="X3" s="3" t="s">
        <v>127</v>
      </c>
      <c r="Y3" s="3" t="s">
        <v>127</v>
      </c>
      <c r="Z3" s="3" t="s">
        <v>127</v>
      </c>
      <c r="AA3" s="3" t="s">
        <v>127</v>
      </c>
      <c r="AB3" s="3" t="s">
        <v>127</v>
      </c>
      <c r="AC3" s="3" t="s">
        <v>127</v>
      </c>
      <c r="AD3" s="3" t="s">
        <v>127</v>
      </c>
      <c r="AE3" s="3" t="s">
        <v>127</v>
      </c>
      <c r="AF3" s="3" t="s">
        <v>127</v>
      </c>
      <c r="AG3" s="3" t="s">
        <v>127</v>
      </c>
      <c r="AH3" s="4" t="s">
        <v>7</v>
      </c>
      <c r="AJ3" s="4" t="s">
        <v>8</v>
      </c>
      <c r="AK3" s="4" t="s">
        <v>9</v>
      </c>
      <c r="AL3" s="4" t="s">
        <v>10</v>
      </c>
    </row>
    <row r="4" customFormat="false" ht="12" hidden="false" customHeight="true" outlineLevel="0" collapsed="false">
      <c r="B4" s="2"/>
      <c r="C4" s="5" t="n">
        <v>1</v>
      </c>
      <c r="D4" s="5" t="n">
        <v>2</v>
      </c>
      <c r="E4" s="5" t="n">
        <v>3</v>
      </c>
      <c r="F4" s="5" t="n">
        <v>4</v>
      </c>
      <c r="G4" s="5" t="n">
        <v>5</v>
      </c>
      <c r="H4" s="5" t="n">
        <v>6</v>
      </c>
      <c r="I4" s="5" t="n">
        <v>7</v>
      </c>
      <c r="J4" s="5" t="n">
        <v>8</v>
      </c>
      <c r="K4" s="5" t="n">
        <v>9</v>
      </c>
      <c r="L4" s="5" t="n">
        <v>10</v>
      </c>
      <c r="M4" s="5" t="n">
        <v>11</v>
      </c>
      <c r="N4" s="5" t="n">
        <v>12</v>
      </c>
      <c r="O4" s="5" t="n">
        <v>13</v>
      </c>
      <c r="P4" s="5" t="n">
        <v>14</v>
      </c>
      <c r="Q4" s="5" t="n">
        <v>15</v>
      </c>
      <c r="R4" s="5" t="n">
        <v>16</v>
      </c>
      <c r="S4" s="5" t="n">
        <v>17</v>
      </c>
      <c r="T4" s="5" t="n">
        <v>18</v>
      </c>
      <c r="U4" s="5" t="n">
        <v>19</v>
      </c>
      <c r="V4" s="5" t="n">
        <v>20</v>
      </c>
      <c r="W4" s="5" t="n">
        <v>21</v>
      </c>
      <c r="X4" s="5" t="n">
        <v>22</v>
      </c>
      <c r="Y4" s="5" t="n">
        <v>23</v>
      </c>
      <c r="Z4" s="5" t="n">
        <v>24</v>
      </c>
      <c r="AA4" s="5" t="n">
        <v>25</v>
      </c>
      <c r="AB4" s="5" t="n">
        <v>26</v>
      </c>
      <c r="AC4" s="5" t="n">
        <v>27</v>
      </c>
      <c r="AD4" s="5" t="n">
        <v>28</v>
      </c>
      <c r="AE4" s="5" t="n">
        <v>29</v>
      </c>
      <c r="AF4" s="5" t="n">
        <v>30</v>
      </c>
      <c r="AG4" s="5" t="n">
        <v>31</v>
      </c>
      <c r="AH4" s="4"/>
      <c r="AJ4" s="4"/>
      <c r="AK4" s="4"/>
      <c r="AL4" s="4"/>
    </row>
    <row r="5" customFormat="false" ht="12" hidden="false" customHeight="true" outlineLevel="0" collapsed="false">
      <c r="B5" s="2"/>
      <c r="C5" s="6" t="s">
        <v>16</v>
      </c>
      <c r="D5" s="6" t="s">
        <v>17</v>
      </c>
      <c r="E5" s="6" t="s">
        <v>11</v>
      </c>
      <c r="F5" s="6" t="s">
        <v>12</v>
      </c>
      <c r="G5" s="6" t="s">
        <v>13</v>
      </c>
      <c r="H5" s="6" t="s">
        <v>14</v>
      </c>
      <c r="I5" s="6" t="s">
        <v>15</v>
      </c>
      <c r="J5" s="6" t="s">
        <v>16</v>
      </c>
      <c r="K5" s="6" t="s">
        <v>17</v>
      </c>
      <c r="L5" s="6" t="s">
        <v>11</v>
      </c>
      <c r="M5" s="6" t="s">
        <v>12</v>
      </c>
      <c r="N5" s="6" t="s">
        <v>13</v>
      </c>
      <c r="O5" s="6" t="s">
        <v>14</v>
      </c>
      <c r="P5" s="6" t="s">
        <v>15</v>
      </c>
      <c r="Q5" s="6" t="s">
        <v>16</v>
      </c>
      <c r="R5" s="6" t="s">
        <v>17</v>
      </c>
      <c r="S5" s="6" t="s">
        <v>11</v>
      </c>
      <c r="T5" s="6" t="s">
        <v>12</v>
      </c>
      <c r="U5" s="6" t="s">
        <v>13</v>
      </c>
      <c r="V5" s="6" t="s">
        <v>14</v>
      </c>
      <c r="W5" s="6" t="s">
        <v>15</v>
      </c>
      <c r="X5" s="6" t="s">
        <v>16</v>
      </c>
      <c r="Y5" s="6" t="s">
        <v>17</v>
      </c>
      <c r="Z5" s="6" t="s">
        <v>11</v>
      </c>
      <c r="AA5" s="6" t="s">
        <v>12</v>
      </c>
      <c r="AB5" s="6" t="s">
        <v>13</v>
      </c>
      <c r="AC5" s="6" t="s">
        <v>14</v>
      </c>
      <c r="AD5" s="6" t="s">
        <v>15</v>
      </c>
      <c r="AE5" s="6" t="s">
        <v>16</v>
      </c>
      <c r="AF5" s="6" t="s">
        <v>17</v>
      </c>
      <c r="AG5" s="6" t="s">
        <v>11</v>
      </c>
      <c r="AH5" s="4"/>
      <c r="AJ5" s="4"/>
      <c r="AK5" s="4"/>
      <c r="AL5" s="4"/>
    </row>
    <row r="6" customFormat="false" ht="19.5" hidden="false" customHeight="true" outlineLevel="0" collapsed="false">
      <c r="B6" s="8" t="str">
        <f aca="false">'January 2026'!B6</f>
        <v>Patience Tsikudo</v>
      </c>
      <c r="C6" s="9"/>
      <c r="D6" s="9"/>
      <c r="E6" s="9"/>
      <c r="F6" s="9" t="s">
        <v>20</v>
      </c>
      <c r="G6" s="10"/>
      <c r="H6" s="10"/>
      <c r="I6" s="9"/>
      <c r="J6" s="9"/>
      <c r="K6" s="9"/>
      <c r="L6" s="9"/>
      <c r="M6" s="9"/>
      <c r="N6" s="10"/>
      <c r="O6" s="10"/>
      <c r="P6" s="9"/>
      <c r="Q6" s="9"/>
      <c r="R6" s="9"/>
      <c r="S6" s="9"/>
      <c r="T6" s="9"/>
      <c r="U6" s="10"/>
      <c r="V6" s="10"/>
      <c r="W6" s="9"/>
      <c r="X6" s="9"/>
      <c r="Y6" s="9"/>
      <c r="Z6" s="9"/>
      <c r="AA6" s="9" t="s">
        <v>20</v>
      </c>
      <c r="AB6" s="10"/>
      <c r="AC6" s="10"/>
      <c r="AD6" s="9" t="s">
        <v>20</v>
      </c>
      <c r="AE6" s="9"/>
      <c r="AF6" s="9"/>
      <c r="AG6" s="9"/>
      <c r="AH6" s="11" t="n">
        <f aca="false">(COUNTIF(C6:AG6,"H")*1)+(COUNTIF(C6:AG6,"H1")*0.5)+(COUNTIF(C6:AG6,"H2")*0.5)+(COUNTIF(C6:AG6,"Q")*0.25)+(COUNTIF(C6:AG6,"I")*1)+(COUNTIF(C6:AG6,"S")*0)+(COUNTIF(C6:AG6,"M")*1)+(COUNTIF(C6:AG6,"C")*0)+(COUNTIF(C6:AG6,"V")*1)+(COUNTIF(C6:AG6,"A")*1)</f>
        <v>3</v>
      </c>
      <c r="AJ6" s="11" t="s">
        <v>21</v>
      </c>
      <c r="AK6" s="12" t="s">
        <v>20</v>
      </c>
      <c r="AL6" s="13" t="n">
        <v>1</v>
      </c>
    </row>
    <row r="7" customFormat="false" ht="19.5" hidden="false" customHeight="true" outlineLevel="0" collapsed="false">
      <c r="B7" s="8" t="str">
        <f aca="false">'January 2026'!B7</f>
        <v>Emmanuel Tetteh</v>
      </c>
      <c r="C7" s="9"/>
      <c r="D7" s="9"/>
      <c r="E7" s="9"/>
      <c r="F7" s="9" t="s">
        <v>20</v>
      </c>
      <c r="G7" s="10"/>
      <c r="H7" s="10"/>
      <c r="I7" s="9"/>
      <c r="J7" s="9"/>
      <c r="K7" s="9"/>
      <c r="L7" s="9"/>
      <c r="M7" s="9"/>
      <c r="N7" s="10"/>
      <c r="O7" s="10"/>
      <c r="P7" s="9"/>
      <c r="Q7" s="9"/>
      <c r="R7" s="9"/>
      <c r="S7" s="9"/>
      <c r="T7" s="9"/>
      <c r="U7" s="10"/>
      <c r="V7" s="10"/>
      <c r="W7" s="9"/>
      <c r="X7" s="9"/>
      <c r="Y7" s="9"/>
      <c r="Z7" s="9"/>
      <c r="AA7" s="9" t="s">
        <v>20</v>
      </c>
      <c r="AB7" s="10"/>
      <c r="AC7" s="10"/>
      <c r="AD7" s="9" t="s">
        <v>20</v>
      </c>
      <c r="AE7" s="9"/>
      <c r="AF7" s="9"/>
      <c r="AG7" s="9"/>
      <c r="AH7" s="11" t="n">
        <f aca="false">(COUNTIF(C7:AG7,"H")*1)+(COUNTIF(C7:AG7,"H1")*0.5)+(COUNTIF(C7:AG7,"H2")*0.5)+(COUNTIF(C7:AG7,"Q")*0.25)+(COUNTIF(C7:AG7,"I")*1)+(COUNTIF(C7:AG7,"S")*0)+(COUNTIF(C7:AG7,"M")*1)+(COUNTIF(C7:AG7,"C")*0)+(COUNTIF(C7:AG7,"V")*1)+(COUNTIF(C7:AG7,"A")*1)</f>
        <v>3</v>
      </c>
      <c r="AJ7" s="11" t="s">
        <v>24</v>
      </c>
      <c r="AK7" s="14" t="s">
        <v>25</v>
      </c>
      <c r="AL7" s="13" t="n">
        <v>0.5</v>
      </c>
    </row>
    <row r="8" customFormat="false" ht="19.5" hidden="false" customHeight="true" outlineLevel="0" collapsed="false">
      <c r="B8" s="8" t="str">
        <f aca="false">'January 2026'!B8</f>
        <v>Solomon Sefah</v>
      </c>
      <c r="C8" s="9"/>
      <c r="D8" s="9"/>
      <c r="E8" s="9"/>
      <c r="F8" s="9" t="s">
        <v>20</v>
      </c>
      <c r="G8" s="10"/>
      <c r="H8" s="10"/>
      <c r="I8" s="9"/>
      <c r="J8" s="9"/>
      <c r="K8" s="9"/>
      <c r="L8" s="9"/>
      <c r="M8" s="9"/>
      <c r="N8" s="10"/>
      <c r="O8" s="10"/>
      <c r="P8" s="9"/>
      <c r="Q8" s="9"/>
      <c r="R8" s="9"/>
      <c r="S8" s="9"/>
      <c r="T8" s="9"/>
      <c r="U8" s="10"/>
      <c r="V8" s="10"/>
      <c r="W8" s="9"/>
      <c r="X8" s="9"/>
      <c r="Y8" s="9"/>
      <c r="Z8" s="9"/>
      <c r="AA8" s="9" t="s">
        <v>20</v>
      </c>
      <c r="AB8" s="10"/>
      <c r="AC8" s="10"/>
      <c r="AD8" s="9" t="s">
        <v>20</v>
      </c>
      <c r="AE8" s="9"/>
      <c r="AF8" s="9"/>
      <c r="AG8" s="9"/>
      <c r="AH8" s="11" t="n">
        <f aca="false">(COUNTIF(C8:AG8,"H")*1)+(COUNTIF(C8:AG8,"H1")*0.5)+(COUNTIF(C8:AG8,"H2")*0.5)+(COUNTIF(C8:AG8,"Q")*0.25)+(COUNTIF(C8:AG8,"I")*1)+(COUNTIF(C8:AG8,"S")*0)+(COUNTIF(C8:AG8,"M")*1)+(COUNTIF(C8:AG8,"C")*0)+(COUNTIF(C8:AG8,"V")*1)+(COUNTIF(C8:AG8,"A")*1)</f>
        <v>3</v>
      </c>
      <c r="AJ8" s="11" t="s">
        <v>27</v>
      </c>
      <c r="AK8" s="14" t="s">
        <v>28</v>
      </c>
      <c r="AL8" s="13" t="n">
        <v>0.5</v>
      </c>
    </row>
    <row r="9" customFormat="false" ht="19.5" hidden="false" customHeight="true" outlineLevel="0" collapsed="false">
      <c r="B9" s="8" t="str">
        <f aca="false">'January 2026'!B9</f>
        <v>Maame Lankar De Veer</v>
      </c>
      <c r="C9" s="9"/>
      <c r="D9" s="9"/>
      <c r="E9" s="9"/>
      <c r="F9" s="9" t="s">
        <v>20</v>
      </c>
      <c r="G9" s="10"/>
      <c r="H9" s="10"/>
      <c r="I9" s="9"/>
      <c r="J9" s="9"/>
      <c r="K9" s="9"/>
      <c r="L9" s="9"/>
      <c r="M9" s="9"/>
      <c r="N9" s="10"/>
      <c r="O9" s="10"/>
      <c r="P9" s="9"/>
      <c r="Q9" s="9"/>
      <c r="R9" s="9"/>
      <c r="S9" s="9"/>
      <c r="T9" s="9"/>
      <c r="U9" s="10"/>
      <c r="V9" s="10"/>
      <c r="W9" s="9"/>
      <c r="X9" s="9"/>
      <c r="Y9" s="9"/>
      <c r="Z9" s="9"/>
      <c r="AA9" s="9" t="s">
        <v>20</v>
      </c>
      <c r="AB9" s="10"/>
      <c r="AC9" s="10"/>
      <c r="AD9" s="9" t="s">
        <v>20</v>
      </c>
      <c r="AE9" s="9"/>
      <c r="AF9" s="9"/>
      <c r="AG9" s="9"/>
      <c r="AH9" s="11" t="n">
        <f aca="false">(COUNTIF(C9:AG9,"H")*1)+(COUNTIF(C9:AG9,"H1")*0.5)+(COUNTIF(C9:AG9,"H2")*0.5)+(COUNTIF(C9:AG9,"Q")*0.25)+(COUNTIF(C9:AG9,"I")*1)+(COUNTIF(C9:AG9,"S")*0)+(COUNTIF(C9:AG9,"M")*1)+(COUNTIF(C9:AG9,"C")*0)+(COUNTIF(C9:AG9,"V")*1)+(COUNTIF(C9:AG9,"A")*1)</f>
        <v>3</v>
      </c>
      <c r="AJ9" s="11" t="s">
        <v>31</v>
      </c>
      <c r="AK9" s="15" t="s">
        <v>32</v>
      </c>
      <c r="AL9" s="13" t="n">
        <v>0.25</v>
      </c>
    </row>
    <row r="10" customFormat="false" ht="19.5" hidden="false" customHeight="true" outlineLevel="0" collapsed="false">
      <c r="B10" s="8" t="str">
        <f aca="false">'January 2026'!B10</f>
        <v>Joel Akwesi Opoku </v>
      </c>
      <c r="C10" s="9"/>
      <c r="D10" s="9"/>
      <c r="E10" s="9"/>
      <c r="F10" s="9" t="s">
        <v>20</v>
      </c>
      <c r="G10" s="10"/>
      <c r="H10" s="10"/>
      <c r="I10" s="9"/>
      <c r="J10" s="9"/>
      <c r="K10" s="9"/>
      <c r="L10" s="9"/>
      <c r="M10" s="9"/>
      <c r="N10" s="10"/>
      <c r="O10" s="10"/>
      <c r="P10" s="9"/>
      <c r="Q10" s="9"/>
      <c r="R10" s="9"/>
      <c r="S10" s="9"/>
      <c r="T10" s="9"/>
      <c r="U10" s="10"/>
      <c r="V10" s="10"/>
      <c r="W10" s="9"/>
      <c r="X10" s="9"/>
      <c r="Y10" s="9"/>
      <c r="Z10" s="9"/>
      <c r="AA10" s="9" t="s">
        <v>20</v>
      </c>
      <c r="AB10" s="10"/>
      <c r="AC10" s="10"/>
      <c r="AD10" s="9" t="s">
        <v>20</v>
      </c>
      <c r="AE10" s="9"/>
      <c r="AF10" s="9"/>
      <c r="AG10" s="9"/>
      <c r="AH10" s="11" t="n">
        <f aca="false">(COUNTIF(C10:AG10,"H")*1)+(COUNTIF(C10:AG10,"H1")*0.5)+(COUNTIF(C10:AG10,"H2")*0.5)+(COUNTIF(C10:AG10,"Q")*0.25)+(COUNTIF(C10:AG10,"I")*1)+(COUNTIF(C10:AG10,"S")*0)+(COUNTIF(C10:AG10,"M")*1)+(COUNTIF(C10:AG10,"C")*0)+(COUNTIF(C10:AG10,"V")*1)+(COUNTIF(C10:AG10,"A")*1)</f>
        <v>3</v>
      </c>
      <c r="AJ10" s="11" t="s">
        <v>34</v>
      </c>
      <c r="AK10" s="17" t="s">
        <v>23</v>
      </c>
      <c r="AL10" s="13" t="n">
        <v>1</v>
      </c>
    </row>
    <row r="11" customFormat="false" ht="19.5" hidden="false" customHeight="true" outlineLevel="0" collapsed="false">
      <c r="B11" s="8" t="str">
        <f aca="false">'January 2026'!B11</f>
        <v>Samuel Napaa</v>
      </c>
      <c r="C11" s="9"/>
      <c r="D11" s="9"/>
      <c r="E11" s="9"/>
      <c r="F11" s="9" t="s">
        <v>20</v>
      </c>
      <c r="G11" s="10"/>
      <c r="H11" s="10"/>
      <c r="I11" s="9"/>
      <c r="J11" s="9"/>
      <c r="K11" s="9"/>
      <c r="L11" s="9"/>
      <c r="M11" s="9"/>
      <c r="N11" s="10"/>
      <c r="O11" s="10"/>
      <c r="P11" s="9"/>
      <c r="Q11" s="9"/>
      <c r="R11" s="9"/>
      <c r="S11" s="9"/>
      <c r="T11" s="9"/>
      <c r="U11" s="10"/>
      <c r="V11" s="10"/>
      <c r="W11" s="9"/>
      <c r="X11" s="9"/>
      <c r="Y11" s="9"/>
      <c r="Z11" s="9"/>
      <c r="AA11" s="9" t="s">
        <v>20</v>
      </c>
      <c r="AB11" s="10"/>
      <c r="AC11" s="10"/>
      <c r="AD11" s="9" t="s">
        <v>20</v>
      </c>
      <c r="AE11" s="9"/>
      <c r="AF11" s="9"/>
      <c r="AG11" s="9"/>
      <c r="AH11" s="11" t="n">
        <f aca="false">(COUNTIF(C11:AG11,"H")*1)+(COUNTIF(C11:AG11,"H1")*0.5)+(COUNTIF(C11:AG11,"H2")*0.5)+(COUNTIF(C11:AG11,"Q")*0.25)+(COUNTIF(C11:AG11,"I")*1)+(COUNTIF(C11:AG11,"S")*0)+(COUNTIF(C11:AG11,"M")*1)+(COUNTIF(C11:AG11,"C")*0)+(COUNTIF(C11:AG11,"V")*1)+(COUNTIF(C11:AG11,"A")*1)</f>
        <v>3</v>
      </c>
      <c r="AJ11" s="11" t="s">
        <v>36</v>
      </c>
      <c r="AK11" s="18" t="s">
        <v>30</v>
      </c>
      <c r="AL11" s="13" t="n">
        <v>0</v>
      </c>
    </row>
    <row r="12" customFormat="false" ht="19.5" hidden="false" customHeight="true" outlineLevel="0" collapsed="false">
      <c r="B12" s="8" t="str">
        <f aca="false">'January 2026'!B12</f>
        <v>Cyril Elorm Dzamaklu</v>
      </c>
      <c r="C12" s="9"/>
      <c r="D12" s="9"/>
      <c r="E12" s="9"/>
      <c r="F12" s="9" t="s">
        <v>20</v>
      </c>
      <c r="G12" s="10"/>
      <c r="H12" s="10"/>
      <c r="I12" s="9"/>
      <c r="J12" s="9"/>
      <c r="K12" s="9"/>
      <c r="L12" s="9"/>
      <c r="M12" s="9"/>
      <c r="N12" s="10"/>
      <c r="O12" s="10"/>
      <c r="P12" s="9"/>
      <c r="Q12" s="9"/>
      <c r="R12" s="9"/>
      <c r="S12" s="9"/>
      <c r="T12" s="9"/>
      <c r="U12" s="10"/>
      <c r="V12" s="10"/>
      <c r="W12" s="9"/>
      <c r="X12" s="9"/>
      <c r="Y12" s="9"/>
      <c r="Z12" s="9"/>
      <c r="AA12" s="9" t="s">
        <v>20</v>
      </c>
      <c r="AB12" s="10"/>
      <c r="AC12" s="10"/>
      <c r="AD12" s="9" t="s">
        <v>20</v>
      </c>
      <c r="AE12" s="9"/>
      <c r="AF12" s="9"/>
      <c r="AG12" s="9"/>
      <c r="AH12" s="11" t="n">
        <f aca="false">(COUNTIF(C12:AG12,"H")*1)+(COUNTIF(C12:AG12,"H1")*0.5)+(COUNTIF(C12:AG12,"H2")*0.5)+(COUNTIF(C12:AG12,"Q")*0.25)+(COUNTIF(C12:AG12,"I")*1)+(COUNTIF(C12:AG12,"S")*0)+(COUNTIF(C12:AG12,"M")*1)+(COUNTIF(C12:AG12,"C")*0)+(COUNTIF(C12:AG12,"V")*1)+(COUNTIF(C12:AG12,"A")*1)</f>
        <v>3</v>
      </c>
      <c r="AJ12" s="11" t="s">
        <v>38</v>
      </c>
      <c r="AK12" s="19" t="s">
        <v>39</v>
      </c>
      <c r="AL12" s="13" t="n">
        <v>1</v>
      </c>
    </row>
    <row r="13" customFormat="false" ht="19.5" hidden="false" customHeight="true" outlineLevel="0" collapsed="false">
      <c r="B13" s="8" t="str">
        <f aca="false">'January 2026'!B13</f>
        <v>Edwin Sedem Lawuiekpor</v>
      </c>
      <c r="C13" s="9"/>
      <c r="D13" s="9"/>
      <c r="E13" s="9"/>
      <c r="F13" s="9" t="s">
        <v>20</v>
      </c>
      <c r="G13" s="10"/>
      <c r="H13" s="10"/>
      <c r="I13" s="9"/>
      <c r="J13" s="9"/>
      <c r="K13" s="9"/>
      <c r="L13" s="9"/>
      <c r="M13" s="9"/>
      <c r="N13" s="10"/>
      <c r="O13" s="10"/>
      <c r="P13" s="9"/>
      <c r="Q13" s="9"/>
      <c r="R13" s="9"/>
      <c r="S13" s="9"/>
      <c r="T13" s="9"/>
      <c r="U13" s="10"/>
      <c r="V13" s="10"/>
      <c r="W13" s="9"/>
      <c r="X13" s="9"/>
      <c r="Y13" s="9"/>
      <c r="Z13" s="9"/>
      <c r="AA13" s="9" t="s">
        <v>20</v>
      </c>
      <c r="AB13" s="10"/>
      <c r="AC13" s="10"/>
      <c r="AD13" s="9" t="s">
        <v>20</v>
      </c>
      <c r="AE13" s="9"/>
      <c r="AF13" s="9"/>
      <c r="AG13" s="9"/>
      <c r="AH13" s="11" t="n">
        <f aca="false">(COUNTIF(C13:AG13,"H")*1)+(COUNTIF(C13:AG13,"H1")*0.5)+(COUNTIF(C13:AG13,"H2")*0.5)+(COUNTIF(C13:AG13,"Q")*0.25)+(COUNTIF(C13:AG13,"I")*1)+(COUNTIF(C13:AG13,"S")*0)+(COUNTIF(C13:AG13,"M")*1)+(COUNTIF(C13:AG13,"C")*0)+(COUNTIF(C13:AG13,"V")*1)+(COUNTIF(C13:AG13,"A")*1)</f>
        <v>3</v>
      </c>
      <c r="AJ13" s="11" t="s">
        <v>41</v>
      </c>
      <c r="AK13" s="20" t="s">
        <v>42</v>
      </c>
      <c r="AL13" s="13" t="n">
        <v>0</v>
      </c>
    </row>
    <row r="14" customFormat="false" ht="19.5" hidden="false" customHeight="true" outlineLevel="0" collapsed="false">
      <c r="B14" s="8" t="str">
        <f aca="false">'January 2026'!B14</f>
        <v>Emmanuel Quansah</v>
      </c>
      <c r="C14" s="9"/>
      <c r="D14" s="9"/>
      <c r="E14" s="9"/>
      <c r="F14" s="9" t="s">
        <v>20</v>
      </c>
      <c r="G14" s="10"/>
      <c r="H14" s="10"/>
      <c r="I14" s="9"/>
      <c r="J14" s="9"/>
      <c r="K14" s="9"/>
      <c r="L14" s="9"/>
      <c r="M14" s="9"/>
      <c r="N14" s="10"/>
      <c r="O14" s="10"/>
      <c r="P14" s="9"/>
      <c r="Q14" s="9"/>
      <c r="R14" s="9"/>
      <c r="S14" s="9"/>
      <c r="T14" s="9"/>
      <c r="U14" s="10"/>
      <c r="V14" s="10"/>
      <c r="W14" s="9"/>
      <c r="X14" s="9"/>
      <c r="Y14" s="9"/>
      <c r="Z14" s="9"/>
      <c r="AA14" s="9" t="s">
        <v>20</v>
      </c>
      <c r="AB14" s="10"/>
      <c r="AC14" s="10"/>
      <c r="AD14" s="9" t="s">
        <v>20</v>
      </c>
      <c r="AE14" s="9"/>
      <c r="AF14" s="9"/>
      <c r="AG14" s="9"/>
      <c r="AH14" s="11" t="n">
        <f aca="false">(COUNTIF(C14:AG14,"H")*1)+(COUNTIF(C14:AG14,"H1")*0.5)+(COUNTIF(C14:AG14,"H2")*0.5)+(COUNTIF(C14:AG14,"Q")*0.25)+(COUNTIF(C14:AG14,"I")*1)+(COUNTIF(C14:AG14,"S")*0)+(COUNTIF(C14:AG14,"M")*1)+(COUNTIF(C14:AG14,"C")*0)+(COUNTIF(C14:AG14,"V")*1)+(COUNTIF(C14:AG14,"A")*1)</f>
        <v>3</v>
      </c>
      <c r="AJ14" s="11" t="s">
        <v>44</v>
      </c>
      <c r="AK14" s="21" t="s">
        <v>19</v>
      </c>
      <c r="AL14" s="13" t="n">
        <v>1</v>
      </c>
    </row>
    <row r="15" customFormat="false" ht="19.5" hidden="false" customHeight="true" outlineLevel="0" collapsed="false">
      <c r="B15" s="8" t="str">
        <f aca="false">'January 2026'!B15</f>
        <v>Ben Oni Dankyi Ofosu</v>
      </c>
      <c r="C15" s="9"/>
      <c r="D15" s="9"/>
      <c r="E15" s="9"/>
      <c r="F15" s="9" t="s">
        <v>20</v>
      </c>
      <c r="G15" s="10"/>
      <c r="H15" s="10"/>
      <c r="I15" s="9"/>
      <c r="J15" s="9"/>
      <c r="K15" s="9"/>
      <c r="L15" s="9"/>
      <c r="M15" s="9"/>
      <c r="N15" s="10"/>
      <c r="O15" s="10"/>
      <c r="P15" s="9"/>
      <c r="Q15" s="9"/>
      <c r="R15" s="9"/>
      <c r="S15" s="9"/>
      <c r="T15" s="9"/>
      <c r="U15" s="10"/>
      <c r="V15" s="10"/>
      <c r="W15" s="9"/>
      <c r="X15" s="9"/>
      <c r="Y15" s="9"/>
      <c r="Z15" s="9"/>
      <c r="AA15" s="9" t="s">
        <v>20</v>
      </c>
      <c r="AB15" s="10"/>
      <c r="AC15" s="10"/>
      <c r="AD15" s="9" t="s">
        <v>20</v>
      </c>
      <c r="AE15" s="9"/>
      <c r="AF15" s="9"/>
      <c r="AG15" s="9"/>
      <c r="AH15" s="11" t="n">
        <f aca="false">(COUNTIF(C15:AG15,"H")*1)+(COUNTIF(C15:AG15,"H1")*0.5)+(COUNTIF(C15:AG15,"H2")*0.5)+(COUNTIF(C15:AG15,"Q")*0.25)+(COUNTIF(C15:AG15,"I")*1)+(COUNTIF(C15:AG15,"S")*0)+(COUNTIF(C15:AG15,"M")*1)+(COUNTIF(C15:AG15,"C")*0)+(COUNTIF(C15:AG15,"V")*1)+(COUNTIF(C15:AG15,"A")*1)</f>
        <v>3</v>
      </c>
      <c r="AJ15" s="11" t="s">
        <v>46</v>
      </c>
      <c r="AK15" s="22" t="s">
        <v>47</v>
      </c>
      <c r="AL15" s="13" t="n">
        <v>1</v>
      </c>
    </row>
    <row r="16" customFormat="false" ht="19.5" hidden="false" customHeight="true" outlineLevel="0" collapsed="false">
      <c r="B16" s="8" t="str">
        <f aca="false">'January 2026'!B16</f>
        <v>Wahab Amoako Domson</v>
      </c>
      <c r="C16" s="9"/>
      <c r="D16" s="9"/>
      <c r="E16" s="9"/>
      <c r="F16" s="9" t="s">
        <v>20</v>
      </c>
      <c r="G16" s="10"/>
      <c r="H16" s="10"/>
      <c r="I16" s="9"/>
      <c r="J16" s="9"/>
      <c r="K16" s="9"/>
      <c r="L16" s="9"/>
      <c r="M16" s="9"/>
      <c r="N16" s="10"/>
      <c r="O16" s="10"/>
      <c r="P16" s="9"/>
      <c r="Q16" s="9"/>
      <c r="R16" s="9"/>
      <c r="S16" s="9"/>
      <c r="T16" s="9"/>
      <c r="U16" s="10"/>
      <c r="V16" s="10"/>
      <c r="W16" s="9"/>
      <c r="X16" s="9"/>
      <c r="Y16" s="9"/>
      <c r="Z16" s="9"/>
      <c r="AA16" s="9" t="s">
        <v>20</v>
      </c>
      <c r="AB16" s="10"/>
      <c r="AC16" s="10"/>
      <c r="AD16" s="9" t="s">
        <v>20</v>
      </c>
      <c r="AE16" s="9"/>
      <c r="AF16" s="9"/>
      <c r="AG16" s="9"/>
      <c r="AH16" s="11" t="n">
        <f aca="false">(COUNTIF(C16:AG16,"H")*1)+(COUNTIF(C16:AG16,"H1")*0.5)+(COUNTIF(C16:AG16,"H2")*0.5)+(COUNTIF(C16:AG16,"Q")*0.25)+(COUNTIF(C16:AG16,"I")*1)+(COUNTIF(C16:AG16,"S")*0)+(COUNTIF(C16:AG16,"M")*1)+(COUNTIF(C16:AG16,"C")*0)+(COUNTIF(C16:AG16,"V")*1)+(COUNTIF(C16:AG16,"A")*1)</f>
        <v>3</v>
      </c>
    </row>
    <row r="17" customFormat="false" ht="19.5" hidden="false" customHeight="true" outlineLevel="0" collapsed="false">
      <c r="B17" s="8" t="str">
        <f aca="false">'January 2026'!B17</f>
        <v>Emmanuel Quarshie</v>
      </c>
      <c r="C17" s="9"/>
      <c r="D17" s="9"/>
      <c r="E17" s="9"/>
      <c r="F17" s="9" t="s">
        <v>20</v>
      </c>
      <c r="G17" s="10"/>
      <c r="H17" s="10"/>
      <c r="I17" s="9"/>
      <c r="J17" s="9"/>
      <c r="K17" s="9"/>
      <c r="L17" s="9"/>
      <c r="M17" s="9"/>
      <c r="N17" s="10"/>
      <c r="O17" s="10"/>
      <c r="P17" s="9"/>
      <c r="Q17" s="9"/>
      <c r="R17" s="9"/>
      <c r="S17" s="9"/>
      <c r="T17" s="9"/>
      <c r="U17" s="10"/>
      <c r="V17" s="10"/>
      <c r="W17" s="9"/>
      <c r="X17" s="9"/>
      <c r="Y17" s="9"/>
      <c r="Z17" s="9"/>
      <c r="AA17" s="9" t="s">
        <v>20</v>
      </c>
      <c r="AB17" s="10"/>
      <c r="AC17" s="10"/>
      <c r="AD17" s="9" t="s">
        <v>20</v>
      </c>
      <c r="AE17" s="9"/>
      <c r="AF17" s="9"/>
      <c r="AG17" s="9"/>
      <c r="AH17" s="11" t="n">
        <f aca="false">(COUNTIF(C17:AG17,"H")*1)+(COUNTIF(C17:AG17,"H1")*0.5)+(COUNTIF(C17:AG17,"H2")*0.5)+(COUNTIF(C17:AG17,"Q")*0.25)+(COUNTIF(C17:AG17,"I")*1)+(COUNTIF(C17:AG17,"S")*0)+(COUNTIF(C17:AG17,"M")*1)+(COUNTIF(C17:AG17,"C")*0)+(COUNTIF(C17:AG17,"V")*1)+(COUNTIF(C17:AG17,"A")*1)</f>
        <v>3</v>
      </c>
    </row>
    <row r="18" customFormat="false" ht="19.5" hidden="false" customHeight="true" outlineLevel="0" collapsed="false">
      <c r="B18" s="8" t="str">
        <f aca="false">'January 2026'!B18</f>
        <v>Ethel Prempeh</v>
      </c>
      <c r="C18" s="9"/>
      <c r="D18" s="9"/>
      <c r="E18" s="9"/>
      <c r="F18" s="9" t="s">
        <v>20</v>
      </c>
      <c r="G18" s="10"/>
      <c r="H18" s="10"/>
      <c r="I18" s="9"/>
      <c r="J18" s="9"/>
      <c r="K18" s="9"/>
      <c r="L18" s="9"/>
      <c r="M18" s="9"/>
      <c r="N18" s="10"/>
      <c r="O18" s="10"/>
      <c r="P18" s="9"/>
      <c r="Q18" s="9"/>
      <c r="R18" s="9"/>
      <c r="S18" s="9"/>
      <c r="T18" s="9"/>
      <c r="U18" s="10"/>
      <c r="V18" s="10"/>
      <c r="W18" s="9"/>
      <c r="X18" s="9"/>
      <c r="Y18" s="9"/>
      <c r="Z18" s="9"/>
      <c r="AA18" s="9" t="s">
        <v>20</v>
      </c>
      <c r="AB18" s="10"/>
      <c r="AC18" s="10"/>
      <c r="AD18" s="9" t="s">
        <v>20</v>
      </c>
      <c r="AE18" s="9"/>
      <c r="AF18" s="9"/>
      <c r="AG18" s="9"/>
      <c r="AH18" s="11" t="n">
        <f aca="false">(COUNTIF(C18:AG18,"H")*1)+(COUNTIF(C18:AG18,"H1")*0.5)+(COUNTIF(C18:AG18,"H2")*0.5)+(COUNTIF(C18:AG18,"Q")*0.25)+(COUNTIF(C18:AG18,"I")*1)+(COUNTIF(C18:AG18,"S")*0)+(COUNTIF(C18:AG18,"M")*1)+(COUNTIF(C18:AG18,"C")*0)+(COUNTIF(C18:AG18,"V")*1)+(COUNTIF(C18:AG18,"A")*1)</f>
        <v>3</v>
      </c>
    </row>
    <row r="19" customFormat="false" ht="19.5" hidden="false" customHeight="true" outlineLevel="0" collapsed="false">
      <c r="B19" s="8" t="str">
        <f aca="false">'January 2026'!B19</f>
        <v>Isaac Appiah</v>
      </c>
      <c r="C19" s="9"/>
      <c r="D19" s="9"/>
      <c r="E19" s="9"/>
      <c r="F19" s="9" t="s">
        <v>20</v>
      </c>
      <c r="G19" s="10"/>
      <c r="H19" s="10"/>
      <c r="I19" s="9"/>
      <c r="J19" s="9"/>
      <c r="K19" s="9"/>
      <c r="L19" s="9"/>
      <c r="M19" s="9"/>
      <c r="N19" s="10"/>
      <c r="O19" s="10"/>
      <c r="P19" s="9"/>
      <c r="Q19" s="9"/>
      <c r="R19" s="9"/>
      <c r="S19" s="9"/>
      <c r="T19" s="9"/>
      <c r="U19" s="10"/>
      <c r="V19" s="10"/>
      <c r="W19" s="9"/>
      <c r="X19" s="9"/>
      <c r="Y19" s="9"/>
      <c r="Z19" s="9"/>
      <c r="AA19" s="9" t="s">
        <v>20</v>
      </c>
      <c r="AB19" s="10"/>
      <c r="AC19" s="10"/>
      <c r="AD19" s="9" t="s">
        <v>20</v>
      </c>
      <c r="AE19" s="9"/>
      <c r="AF19" s="9"/>
      <c r="AG19" s="9"/>
      <c r="AH19" s="11" t="n">
        <f aca="false">(COUNTIF(C19:AG19,"H")*1)+(COUNTIF(C19:AG19,"H1")*0.5)+(COUNTIF(C19:AG19,"H2")*0.5)+(COUNTIF(C19:AG19,"Q")*0.25)+(COUNTIF(C19:AG19,"I")*1)+(COUNTIF(C19:AG19,"S")*0)+(COUNTIF(C19:AG19,"M")*1)+(COUNTIF(C19:AG19,"C")*0)+(COUNTIF(C19:AG19,"V")*1)+(COUNTIF(C19:AG19,"A")*1)</f>
        <v>3</v>
      </c>
    </row>
    <row r="20" customFormat="false" ht="19.5" hidden="false" customHeight="true" outlineLevel="0" collapsed="false">
      <c r="B20" s="8" t="s">
        <v>79</v>
      </c>
      <c r="C20" s="9"/>
      <c r="D20" s="9"/>
      <c r="E20" s="9"/>
      <c r="F20" s="9" t="s">
        <v>20</v>
      </c>
      <c r="G20" s="10"/>
      <c r="H20" s="10"/>
      <c r="I20" s="9"/>
      <c r="J20" s="9"/>
      <c r="K20" s="9"/>
      <c r="L20" s="9"/>
      <c r="M20" s="9"/>
      <c r="N20" s="10"/>
      <c r="O20" s="10"/>
      <c r="P20" s="9"/>
      <c r="Q20" s="9"/>
      <c r="R20" s="9"/>
      <c r="S20" s="9"/>
      <c r="T20" s="9"/>
      <c r="U20" s="10"/>
      <c r="V20" s="10"/>
      <c r="W20" s="9"/>
      <c r="X20" s="9"/>
      <c r="Y20" s="9"/>
      <c r="Z20" s="9"/>
      <c r="AA20" s="9" t="s">
        <v>20</v>
      </c>
      <c r="AB20" s="10"/>
      <c r="AC20" s="10"/>
      <c r="AD20" s="9" t="s">
        <v>20</v>
      </c>
      <c r="AE20" s="9"/>
      <c r="AF20" s="9"/>
      <c r="AG20" s="9"/>
      <c r="AH20" s="11" t="n">
        <f aca="false">(COUNTIF(C20:AG20,"H")*1)+(COUNTIF(C20:AG20,"H1")*0.5)+(COUNTIF(C20:AG20,"H2")*0.5)+(COUNTIF(C20:AG20,"Q")*0.25)+(COUNTIF(C20:AG20,"I")*1)+(COUNTIF(C20:AG20,"S")*0)+(COUNTIF(C20:AG20,"M")*1)+(COUNTIF(C20:AG20,"C")*0)+(COUNTIF(C20:AG20,"V")*1)+(COUNTIF(C20:AG20,"A")*1)</f>
        <v>3</v>
      </c>
    </row>
    <row r="21" customFormat="false" ht="19.5" hidden="false" customHeight="true" outlineLevel="0" collapsed="false">
      <c r="B21" s="8" t="n">
        <f aca="false">'January 2026'!B21</f>
        <v>0</v>
      </c>
      <c r="C21" s="9"/>
      <c r="D21" s="9"/>
      <c r="E21" s="9"/>
      <c r="F21" s="9"/>
      <c r="G21" s="10"/>
      <c r="H21" s="10"/>
      <c r="I21" s="9"/>
      <c r="J21" s="9"/>
      <c r="K21" s="9"/>
      <c r="L21" s="9"/>
      <c r="M21" s="9"/>
      <c r="N21" s="10"/>
      <c r="O21" s="10"/>
      <c r="P21" s="9"/>
      <c r="Q21" s="9"/>
      <c r="R21" s="9"/>
      <c r="S21" s="9"/>
      <c r="T21" s="9"/>
      <c r="U21" s="10"/>
      <c r="V21" s="10"/>
      <c r="W21" s="9"/>
      <c r="X21" s="9"/>
      <c r="Y21" s="9"/>
      <c r="Z21" s="9"/>
      <c r="AA21" s="9"/>
      <c r="AB21" s="10"/>
      <c r="AC21" s="10"/>
      <c r="AD21" s="9"/>
      <c r="AE21" s="9"/>
      <c r="AF21" s="9"/>
      <c r="AG21" s="9"/>
      <c r="AH21" s="11" t="n">
        <f aca="false">(COUNTIF(C21:AG21,"H")*1)+(COUNTIF(C21:AG21,"H1")*0.5)+(COUNTIF(C21:AG21,"H2")*0.5)+(COUNTIF(C21:AG21,"Q")*0.25)+(COUNTIF(C21:AG21,"I")*1)+(COUNTIF(C21:AG21,"S")*0)+(COUNTIF(C21:AG21,"M")*1)+(COUNTIF(C21:AG21,"C")*0)+(COUNTIF(C21:AG21,"V")*1)+(COUNTIF(C21:AG21,"A")*1)</f>
        <v>0</v>
      </c>
    </row>
    <row r="22" customFormat="false" ht="19.5" hidden="false" customHeight="true" outlineLevel="0" collapsed="false">
      <c r="B22" s="8" t="n">
        <f aca="false">'January 2026'!B22</f>
        <v>0</v>
      </c>
      <c r="C22" s="9"/>
      <c r="D22" s="9"/>
      <c r="E22" s="9"/>
      <c r="F22" s="9"/>
      <c r="G22" s="10"/>
      <c r="H22" s="10"/>
      <c r="I22" s="9"/>
      <c r="J22" s="9"/>
      <c r="K22" s="9"/>
      <c r="L22" s="9"/>
      <c r="M22" s="9"/>
      <c r="N22" s="10"/>
      <c r="O22" s="10"/>
      <c r="P22" s="9"/>
      <c r="Q22" s="9"/>
      <c r="R22" s="9"/>
      <c r="S22" s="9"/>
      <c r="T22" s="9"/>
      <c r="U22" s="10"/>
      <c r="V22" s="10"/>
      <c r="W22" s="9"/>
      <c r="X22" s="9"/>
      <c r="Y22" s="9"/>
      <c r="Z22" s="9"/>
      <c r="AA22" s="9"/>
      <c r="AB22" s="10"/>
      <c r="AC22" s="10"/>
      <c r="AD22" s="9"/>
      <c r="AE22" s="9"/>
      <c r="AF22" s="9"/>
      <c r="AG22" s="9"/>
      <c r="AH22" s="11" t="n">
        <f aca="false">(COUNTIF(C22:AG22,"H")*1)+(COUNTIF(C22:AG22,"H1")*0.5)+(COUNTIF(C22:AG22,"H2")*0.5)+(COUNTIF(C22:AG22,"Q")*0.25)+(COUNTIF(C22:AG22,"I")*1)+(COUNTIF(C22:AG22,"S")*0)+(COUNTIF(C22:AG22,"M")*1)+(COUNTIF(C22:AG22,"C")*0)+(COUNTIF(C22:AG22,"V")*1)+(COUNTIF(C22:AG22,"A")*1)</f>
        <v>0</v>
      </c>
    </row>
    <row r="23" customFormat="false" ht="19.5" hidden="false" customHeight="true" outlineLevel="0" collapsed="false">
      <c r="B23" s="8" t="n">
        <f aca="false">'January 2026'!B23</f>
        <v>0</v>
      </c>
      <c r="C23" s="9"/>
      <c r="D23" s="9"/>
      <c r="E23" s="9"/>
      <c r="F23" s="9"/>
      <c r="G23" s="10"/>
      <c r="H23" s="10"/>
      <c r="I23" s="9"/>
      <c r="J23" s="9"/>
      <c r="K23" s="9"/>
      <c r="L23" s="9"/>
      <c r="M23" s="9"/>
      <c r="N23" s="10"/>
      <c r="O23" s="10"/>
      <c r="P23" s="9"/>
      <c r="Q23" s="9"/>
      <c r="R23" s="9"/>
      <c r="S23" s="9"/>
      <c r="T23" s="9"/>
      <c r="U23" s="10"/>
      <c r="V23" s="10"/>
      <c r="W23" s="9"/>
      <c r="X23" s="9"/>
      <c r="Y23" s="9"/>
      <c r="Z23" s="9"/>
      <c r="AA23" s="9"/>
      <c r="AB23" s="10"/>
      <c r="AC23" s="10"/>
      <c r="AD23" s="9"/>
      <c r="AE23" s="9"/>
      <c r="AF23" s="9"/>
      <c r="AG23" s="9"/>
      <c r="AH23" s="11" t="n">
        <f aca="false">(COUNTIF(C23:AG23,"H")*1)+(COUNTIF(C23:AG23,"H1")*0.5)+(COUNTIF(C23:AG23,"H2")*0.5)+(COUNTIF(C23:AG23,"Q")*0.25)+(COUNTIF(C23:AG23,"I")*1)+(COUNTIF(C23:AG23,"S")*0)+(COUNTIF(C23:AG23,"M")*1)+(COUNTIF(C23:AG23,"C")*0)+(COUNTIF(C23:AG23,"V")*1)+(COUNTIF(C23:AG23,"A")*1)</f>
        <v>0</v>
      </c>
    </row>
    <row r="24" customFormat="false" ht="19.5" hidden="false" customHeight="true" outlineLevel="0" collapsed="false">
      <c r="B24" s="8" t="n">
        <f aca="false">'January 2026'!B24</f>
        <v>0</v>
      </c>
      <c r="C24" s="9"/>
      <c r="D24" s="9"/>
      <c r="E24" s="9"/>
      <c r="F24" s="9"/>
      <c r="G24" s="10"/>
      <c r="H24" s="10"/>
      <c r="I24" s="9"/>
      <c r="J24" s="9"/>
      <c r="K24" s="9"/>
      <c r="L24" s="9"/>
      <c r="M24" s="9"/>
      <c r="N24" s="10"/>
      <c r="O24" s="10"/>
      <c r="P24" s="9"/>
      <c r="Q24" s="9"/>
      <c r="R24" s="9"/>
      <c r="S24" s="9"/>
      <c r="T24" s="9"/>
      <c r="U24" s="10"/>
      <c r="V24" s="10"/>
      <c r="W24" s="9"/>
      <c r="X24" s="9"/>
      <c r="Y24" s="9"/>
      <c r="Z24" s="9"/>
      <c r="AA24" s="9"/>
      <c r="AB24" s="10"/>
      <c r="AC24" s="10"/>
      <c r="AD24" s="9"/>
      <c r="AE24" s="9"/>
      <c r="AF24" s="9"/>
      <c r="AG24" s="9"/>
      <c r="AH24" s="11" t="n">
        <f aca="false">(COUNTIF(C24:AG24,"H")*1)+(COUNTIF(C24:AG24,"H1")*0.5)+(COUNTIF(C24:AG24,"H2")*0.5)+(COUNTIF(C24:AG24,"Q")*0.25)+(COUNTIF(C24:AG24,"I")*1)+(COUNTIF(C24:AG24,"S")*0)+(COUNTIF(C24:AG24,"M")*1)+(COUNTIF(C24:AG24,"C")*0)+(COUNTIF(C24:AG24,"V")*1)+(COUNTIF(C24:AG24,"A")*1)</f>
        <v>0</v>
      </c>
    </row>
    <row r="25" customFormat="false" ht="19.5" hidden="false" customHeight="true" outlineLevel="0" collapsed="false">
      <c r="B25" s="8" t="n">
        <f aca="false">'January 2026'!B25</f>
        <v>0</v>
      </c>
      <c r="C25" s="9"/>
      <c r="D25" s="9"/>
      <c r="E25" s="9"/>
      <c r="F25" s="9"/>
      <c r="G25" s="10"/>
      <c r="H25" s="10"/>
      <c r="I25" s="9"/>
      <c r="J25" s="9"/>
      <c r="K25" s="9"/>
      <c r="L25" s="9"/>
      <c r="M25" s="9"/>
      <c r="N25" s="10"/>
      <c r="O25" s="10"/>
      <c r="P25" s="9"/>
      <c r="Q25" s="9"/>
      <c r="R25" s="9"/>
      <c r="S25" s="9"/>
      <c r="T25" s="9"/>
      <c r="U25" s="10"/>
      <c r="V25" s="10"/>
      <c r="W25" s="9"/>
      <c r="X25" s="9"/>
      <c r="Y25" s="9"/>
      <c r="Z25" s="9"/>
      <c r="AA25" s="9"/>
      <c r="AB25" s="10"/>
      <c r="AC25" s="10"/>
      <c r="AD25" s="9"/>
      <c r="AE25" s="9"/>
      <c r="AF25" s="9"/>
      <c r="AG25" s="9"/>
      <c r="AH25" s="11" t="n">
        <f aca="false">(COUNTIF(C25:AG25,"H")*1)+(COUNTIF(C25:AG25,"H1")*0.5)+(COUNTIF(C25:AG25,"H2")*0.5)+(COUNTIF(C25:AG25,"Q")*0.25)+(COUNTIF(C25:AG25,"I")*1)+(COUNTIF(C25:AG25,"S")*0)+(COUNTIF(C25:AG25,"M")*1)+(COUNTIF(C25:AG25,"C")*0)+(COUNTIF(C25:AG25,"V")*1)+(COUNTIF(C25:AG25,"A")*1)</f>
        <v>0</v>
      </c>
    </row>
    <row r="26" customFormat="false" ht="19.5" hidden="false" customHeight="true" outlineLevel="0" collapsed="false">
      <c r="B26" s="8" t="n">
        <f aca="false">'January 2026'!B26</f>
        <v>0</v>
      </c>
      <c r="C26" s="9"/>
      <c r="D26" s="9"/>
      <c r="E26" s="9"/>
      <c r="F26" s="9"/>
      <c r="G26" s="10"/>
      <c r="H26" s="10"/>
      <c r="I26" s="9"/>
      <c r="J26" s="9"/>
      <c r="K26" s="9"/>
      <c r="L26" s="9"/>
      <c r="M26" s="9"/>
      <c r="N26" s="10"/>
      <c r="O26" s="10"/>
      <c r="P26" s="9"/>
      <c r="Q26" s="9"/>
      <c r="R26" s="9"/>
      <c r="S26" s="9"/>
      <c r="T26" s="9"/>
      <c r="U26" s="10"/>
      <c r="V26" s="10"/>
      <c r="W26" s="9"/>
      <c r="X26" s="9"/>
      <c r="Y26" s="9"/>
      <c r="Z26" s="9"/>
      <c r="AA26" s="9"/>
      <c r="AB26" s="10"/>
      <c r="AC26" s="10"/>
      <c r="AD26" s="9"/>
      <c r="AE26" s="9"/>
      <c r="AF26" s="9"/>
      <c r="AG26" s="9"/>
      <c r="AH26" s="11" t="n">
        <f aca="false">(COUNTIF(C26:AG26,"H")*1)+(COUNTIF(C26:AG26,"H1")*0.5)+(COUNTIF(C26:AG26,"H2")*0.5)+(COUNTIF(C26:AG26,"Q")*0.25)+(COUNTIF(C26:AG26,"I")*1)+(COUNTIF(C26:AG26,"S")*0)+(COUNTIF(C26:AG26,"M")*1)+(COUNTIF(C26:AG26,"C")*0)+(COUNTIF(C26:AG26,"V")*1)+(COUNTIF(C26:AG26,"A")*1)</f>
        <v>0</v>
      </c>
    </row>
    <row r="27" customFormat="false" ht="19.5" hidden="false" customHeight="true" outlineLevel="0" collapsed="false">
      <c r="B27" s="8" t="n">
        <f aca="false">'January 2026'!B27</f>
        <v>0</v>
      </c>
      <c r="C27" s="9"/>
      <c r="D27" s="9"/>
      <c r="E27" s="9"/>
      <c r="F27" s="9"/>
      <c r="G27" s="10"/>
      <c r="H27" s="10"/>
      <c r="I27" s="9"/>
      <c r="J27" s="9"/>
      <c r="K27" s="9"/>
      <c r="L27" s="9"/>
      <c r="M27" s="9"/>
      <c r="N27" s="10"/>
      <c r="O27" s="10"/>
      <c r="P27" s="9"/>
      <c r="Q27" s="9"/>
      <c r="R27" s="9"/>
      <c r="S27" s="9"/>
      <c r="T27" s="9"/>
      <c r="U27" s="10"/>
      <c r="V27" s="10"/>
      <c r="W27" s="9"/>
      <c r="X27" s="9"/>
      <c r="Y27" s="9"/>
      <c r="Z27" s="9"/>
      <c r="AA27" s="9"/>
      <c r="AB27" s="10"/>
      <c r="AC27" s="10"/>
      <c r="AD27" s="9"/>
      <c r="AE27" s="9"/>
      <c r="AF27" s="9"/>
      <c r="AG27" s="9"/>
      <c r="AH27" s="11" t="n">
        <f aca="false">(COUNTIF(C27:AG27,"H")*1)+(COUNTIF(C27:AG27,"H1")*0.5)+(COUNTIF(C27:AG27,"H2")*0.5)+(COUNTIF(C27:AG27,"Q")*0.25)+(COUNTIF(C27:AG27,"I")*1)+(COUNTIF(C27:AG27,"S")*0)+(COUNTIF(C27:AG27,"M")*1)+(COUNTIF(C27:AG27,"C")*0)+(COUNTIF(C27:AG27,"V")*1)+(COUNTIF(C27:AG27,"A")*1)</f>
        <v>0</v>
      </c>
    </row>
    <row r="28" customFormat="false" ht="19.5" hidden="false" customHeight="true" outlineLevel="0" collapsed="false">
      <c r="B28" s="8" t="n">
        <f aca="false">'January 2026'!B28</f>
        <v>0</v>
      </c>
      <c r="C28" s="9"/>
      <c r="D28" s="9"/>
      <c r="E28" s="9"/>
      <c r="F28" s="9"/>
      <c r="G28" s="10"/>
      <c r="H28" s="10"/>
      <c r="I28" s="9"/>
      <c r="J28" s="9"/>
      <c r="K28" s="9"/>
      <c r="L28" s="9"/>
      <c r="M28" s="9"/>
      <c r="N28" s="10"/>
      <c r="O28" s="10"/>
      <c r="P28" s="9"/>
      <c r="Q28" s="9"/>
      <c r="R28" s="9"/>
      <c r="S28" s="9"/>
      <c r="T28" s="9"/>
      <c r="U28" s="10"/>
      <c r="V28" s="10"/>
      <c r="W28" s="9"/>
      <c r="X28" s="9"/>
      <c r="Y28" s="9"/>
      <c r="Z28" s="9"/>
      <c r="AA28" s="9"/>
      <c r="AB28" s="10"/>
      <c r="AC28" s="10"/>
      <c r="AD28" s="9"/>
      <c r="AE28" s="9"/>
      <c r="AF28" s="9"/>
      <c r="AG28" s="9"/>
      <c r="AH28" s="11" t="n">
        <f aca="false">(COUNTIF(C28:AG28,"H")*1)+(COUNTIF(C28:AG28,"H1")*0.5)+(COUNTIF(C28:AG28,"H2")*0.5)+(COUNTIF(C28:AG28,"Q")*0.25)+(COUNTIF(C28:AG28,"I")*1)+(COUNTIF(C28:AG28,"S")*0)+(COUNTIF(C28:AG28,"M")*1)+(COUNTIF(C28:AG28,"C")*0)+(COUNTIF(C28:AG28,"V")*1)+(COUNTIF(C28:AG28,"A")*1)</f>
        <v>0</v>
      </c>
    </row>
    <row r="29" customFormat="false" ht="19.5" hidden="false" customHeight="true" outlineLevel="0" collapsed="false">
      <c r="B29" s="8" t="n">
        <f aca="false">'January 2026'!B29</f>
        <v>0</v>
      </c>
      <c r="C29" s="9"/>
      <c r="D29" s="9"/>
      <c r="E29" s="9"/>
      <c r="F29" s="9"/>
      <c r="G29" s="10"/>
      <c r="H29" s="10"/>
      <c r="I29" s="9"/>
      <c r="J29" s="9"/>
      <c r="K29" s="9"/>
      <c r="L29" s="9"/>
      <c r="M29" s="9"/>
      <c r="N29" s="10"/>
      <c r="O29" s="10"/>
      <c r="P29" s="9"/>
      <c r="Q29" s="9"/>
      <c r="R29" s="9"/>
      <c r="S29" s="9"/>
      <c r="T29" s="9"/>
      <c r="U29" s="10"/>
      <c r="V29" s="10"/>
      <c r="W29" s="9"/>
      <c r="X29" s="9"/>
      <c r="Y29" s="9"/>
      <c r="Z29" s="9"/>
      <c r="AA29" s="9"/>
      <c r="AB29" s="10"/>
      <c r="AC29" s="10"/>
      <c r="AD29" s="9"/>
      <c r="AE29" s="9"/>
      <c r="AF29" s="9"/>
      <c r="AG29" s="9"/>
      <c r="AH29" s="11" t="n">
        <f aca="false">(COUNTIF(C29:AG29,"H")*1)+(COUNTIF(C29:AG29,"H1")*0.5)+(COUNTIF(C29:AG29,"H2")*0.5)+(COUNTIF(C29:AG29,"Q")*0.25)+(COUNTIF(C29:AG29,"I")*1)+(COUNTIF(C29:AG29,"S")*0)+(COUNTIF(C29:AG29,"M")*1)+(COUNTIF(C29:AG29,"C")*0)+(COUNTIF(C29:AG29,"V")*1)+(COUNTIF(C29:AG29,"A")*1)</f>
        <v>0</v>
      </c>
    </row>
    <row r="30" customFormat="false" ht="19.5" hidden="false" customHeight="true" outlineLevel="0" collapsed="false">
      <c r="B30" s="8" t="n">
        <f aca="false">'January 2026'!B30</f>
        <v>0</v>
      </c>
      <c r="C30" s="9"/>
      <c r="D30" s="9"/>
      <c r="E30" s="9"/>
      <c r="F30" s="9"/>
      <c r="G30" s="10"/>
      <c r="H30" s="10"/>
      <c r="I30" s="9"/>
      <c r="J30" s="9"/>
      <c r="K30" s="9"/>
      <c r="L30" s="9"/>
      <c r="M30" s="9"/>
      <c r="N30" s="10"/>
      <c r="O30" s="10"/>
      <c r="P30" s="9"/>
      <c r="Q30" s="9"/>
      <c r="R30" s="9"/>
      <c r="S30" s="9"/>
      <c r="T30" s="9"/>
      <c r="U30" s="10"/>
      <c r="V30" s="10"/>
      <c r="W30" s="9"/>
      <c r="X30" s="9"/>
      <c r="Y30" s="9"/>
      <c r="Z30" s="9"/>
      <c r="AA30" s="9"/>
      <c r="AB30" s="10"/>
      <c r="AC30" s="10"/>
      <c r="AD30" s="9"/>
      <c r="AE30" s="9"/>
      <c r="AF30" s="9"/>
      <c r="AG30" s="9"/>
      <c r="AH30" s="11" t="n">
        <f aca="false">(COUNTIF(C30:AG30,"H")*1)+(COUNTIF(C30:AG30,"H1")*0.5)+(COUNTIF(C30:AG30,"H2")*0.5)+(COUNTIF(C30:AG30,"Q")*0.25)+(COUNTIF(C30:AG30,"I")*1)+(COUNTIF(C30:AG30,"S")*0)+(COUNTIF(C30:AG30,"M")*1)+(COUNTIF(C30:AG30,"C")*0)+(COUNTIF(C30:AG30,"V")*1)+(COUNTIF(C30:AG30,"A")*1)</f>
        <v>0</v>
      </c>
    </row>
    <row r="31" customFormat="false" ht="19.5" hidden="false" customHeight="true" outlineLevel="0" collapsed="false">
      <c r="B31" s="8" t="n">
        <f aca="false">'January 2026'!B31</f>
        <v>0</v>
      </c>
      <c r="C31" s="9"/>
      <c r="D31" s="9"/>
      <c r="E31" s="9"/>
      <c r="F31" s="9"/>
      <c r="G31" s="10"/>
      <c r="H31" s="10"/>
      <c r="I31" s="9"/>
      <c r="J31" s="9"/>
      <c r="K31" s="9"/>
      <c r="L31" s="9"/>
      <c r="M31" s="9"/>
      <c r="N31" s="10"/>
      <c r="O31" s="10"/>
      <c r="P31" s="9"/>
      <c r="Q31" s="9"/>
      <c r="R31" s="9"/>
      <c r="S31" s="9"/>
      <c r="T31" s="9"/>
      <c r="U31" s="10"/>
      <c r="V31" s="10"/>
      <c r="W31" s="9"/>
      <c r="X31" s="9"/>
      <c r="Y31" s="9"/>
      <c r="Z31" s="9"/>
      <c r="AA31" s="9"/>
      <c r="AB31" s="10"/>
      <c r="AC31" s="10"/>
      <c r="AD31" s="9"/>
      <c r="AE31" s="9"/>
      <c r="AF31" s="9"/>
      <c r="AG31" s="9"/>
      <c r="AH31" s="11" t="n">
        <f aca="false">(COUNTIF(C31:AG31,"H")*1)+(COUNTIF(C31:AG31,"H1")*0.5)+(COUNTIF(C31:AG31,"H2")*0.5)+(COUNTIF(C31:AG31,"Q")*0.25)+(COUNTIF(C31:AG31,"I")*1)+(COUNTIF(C31:AG31,"S")*0)+(COUNTIF(C31:AG31,"M")*1)+(COUNTIF(C31:AG31,"C")*0)+(COUNTIF(C31:AG31,"V")*1)+(COUNTIF(C31:AG31,"A")*1)</f>
        <v>0</v>
      </c>
    </row>
    <row r="32" customFormat="false" ht="19.5" hidden="false" customHeight="true" outlineLevel="0" collapsed="false">
      <c r="B32" s="8" t="n">
        <f aca="false">'January 2026'!B32</f>
        <v>0</v>
      </c>
      <c r="C32" s="9"/>
      <c r="D32" s="9"/>
      <c r="E32" s="9"/>
      <c r="F32" s="9"/>
      <c r="G32" s="10"/>
      <c r="H32" s="10"/>
      <c r="I32" s="9"/>
      <c r="J32" s="9"/>
      <c r="K32" s="9"/>
      <c r="L32" s="9"/>
      <c r="M32" s="9"/>
      <c r="N32" s="10"/>
      <c r="O32" s="10"/>
      <c r="P32" s="9"/>
      <c r="Q32" s="9"/>
      <c r="R32" s="9"/>
      <c r="S32" s="9"/>
      <c r="T32" s="9"/>
      <c r="U32" s="10"/>
      <c r="V32" s="10"/>
      <c r="W32" s="9"/>
      <c r="X32" s="9"/>
      <c r="Y32" s="9"/>
      <c r="Z32" s="9"/>
      <c r="AA32" s="9"/>
      <c r="AB32" s="10"/>
      <c r="AC32" s="10"/>
      <c r="AD32" s="9"/>
      <c r="AE32" s="9"/>
      <c r="AF32" s="9"/>
      <c r="AG32" s="9"/>
      <c r="AH32" s="11" t="n">
        <f aca="false">(COUNTIF(C32:AG32,"H")*1)+(COUNTIF(C32:AG32,"H1")*0.5)+(COUNTIF(C32:AG32,"H2")*0.5)+(COUNTIF(C32:AG32,"Q")*0.25)+(COUNTIF(C32:AG32,"I")*1)+(COUNTIF(C32:AG32,"S")*0)+(COUNTIF(C32:AG32,"M")*1)+(COUNTIF(C32:AG32,"C")*0)+(COUNTIF(C32:AG32,"V")*1)+(COUNTIF(C32:AG32,"A")*1)</f>
        <v>0</v>
      </c>
    </row>
    <row r="33" customFormat="false" ht="19.5" hidden="false" customHeight="true" outlineLevel="0" collapsed="false">
      <c r="B33" s="8" t="n">
        <f aca="false">'January 2026'!B33</f>
        <v>0</v>
      </c>
      <c r="C33" s="9"/>
      <c r="D33" s="9"/>
      <c r="E33" s="9"/>
      <c r="F33" s="9"/>
      <c r="G33" s="10"/>
      <c r="H33" s="10"/>
      <c r="I33" s="9"/>
      <c r="J33" s="9"/>
      <c r="K33" s="9"/>
      <c r="L33" s="9"/>
      <c r="M33" s="9"/>
      <c r="N33" s="10"/>
      <c r="O33" s="10"/>
      <c r="P33" s="9"/>
      <c r="Q33" s="9"/>
      <c r="R33" s="9"/>
      <c r="S33" s="9"/>
      <c r="T33" s="9"/>
      <c r="U33" s="10"/>
      <c r="V33" s="10"/>
      <c r="W33" s="9"/>
      <c r="X33" s="9"/>
      <c r="Y33" s="9"/>
      <c r="Z33" s="9"/>
      <c r="AA33" s="9"/>
      <c r="AB33" s="10"/>
      <c r="AC33" s="10"/>
      <c r="AD33" s="9"/>
      <c r="AE33" s="9"/>
      <c r="AF33" s="9"/>
      <c r="AG33" s="9"/>
      <c r="AH33" s="11" t="n">
        <f aca="false">(COUNTIF(C33:AG33,"H")*1)+(COUNTIF(C33:AG33,"H1")*0.5)+(COUNTIF(C33:AG33,"H2")*0.5)+(COUNTIF(C33:AG33,"Q")*0.25)+(COUNTIF(C33:AG33,"I")*1)+(COUNTIF(C33:AG33,"S")*0)+(COUNTIF(C33:AG33,"M")*1)+(COUNTIF(C33:AG33,"C")*0)+(COUNTIF(C33:AG33,"V")*1)+(COUNTIF(C33:AG33,"A")*1)</f>
        <v>0</v>
      </c>
    </row>
    <row r="34" customFormat="false" ht="19.5" hidden="false" customHeight="true" outlineLevel="0" collapsed="false">
      <c r="B34" s="8" t="n">
        <f aca="false">'January 2026'!B34</f>
        <v>0</v>
      </c>
      <c r="C34" s="9"/>
      <c r="D34" s="9"/>
      <c r="E34" s="9"/>
      <c r="F34" s="9"/>
      <c r="G34" s="10"/>
      <c r="H34" s="10"/>
      <c r="I34" s="9"/>
      <c r="J34" s="9"/>
      <c r="K34" s="9"/>
      <c r="L34" s="9"/>
      <c r="M34" s="9"/>
      <c r="N34" s="10"/>
      <c r="O34" s="10"/>
      <c r="P34" s="9"/>
      <c r="Q34" s="9"/>
      <c r="R34" s="9"/>
      <c r="S34" s="9"/>
      <c r="T34" s="9"/>
      <c r="U34" s="10"/>
      <c r="V34" s="10"/>
      <c r="W34" s="9"/>
      <c r="X34" s="9"/>
      <c r="Y34" s="9"/>
      <c r="Z34" s="9"/>
      <c r="AA34" s="9"/>
      <c r="AB34" s="10"/>
      <c r="AC34" s="10"/>
      <c r="AD34" s="9"/>
      <c r="AE34" s="9"/>
      <c r="AF34" s="9"/>
      <c r="AG34" s="9"/>
      <c r="AH34" s="11" t="n">
        <f aca="false">(COUNTIF(C34:AG34,"H")*1)+(COUNTIF(C34:AG34,"H1")*0.5)+(COUNTIF(C34:AG34,"H2")*0.5)+(COUNTIF(C34:AG34,"Q")*0.25)+(COUNTIF(C34:AG34,"I")*1)+(COUNTIF(C34:AG34,"S")*0)+(COUNTIF(C34:AG34,"M")*1)+(COUNTIF(C34:AG34,"C")*0)+(COUNTIF(C34:AG34,"V")*1)+(COUNTIF(C34:AG34,"A")*1)</f>
        <v>0</v>
      </c>
    </row>
    <row r="35" customFormat="false" ht="19.5" hidden="false" customHeight="true" outlineLevel="0" collapsed="false">
      <c r="B35" s="8" t="n">
        <f aca="false">'January 2026'!B35</f>
        <v>0</v>
      </c>
      <c r="C35" s="9"/>
      <c r="D35" s="9"/>
      <c r="E35" s="9"/>
      <c r="F35" s="9"/>
      <c r="G35" s="10"/>
      <c r="H35" s="10"/>
      <c r="I35" s="9"/>
      <c r="J35" s="9"/>
      <c r="K35" s="9"/>
      <c r="L35" s="9"/>
      <c r="M35" s="9"/>
      <c r="N35" s="10"/>
      <c r="O35" s="10"/>
      <c r="P35" s="9"/>
      <c r="Q35" s="9"/>
      <c r="R35" s="9"/>
      <c r="S35" s="9"/>
      <c r="T35" s="9"/>
      <c r="U35" s="10"/>
      <c r="V35" s="10"/>
      <c r="W35" s="9"/>
      <c r="X35" s="9"/>
      <c r="Y35" s="9"/>
      <c r="Z35" s="9"/>
      <c r="AA35" s="9"/>
      <c r="AB35" s="10"/>
      <c r="AC35" s="10"/>
      <c r="AD35" s="9"/>
      <c r="AE35" s="9"/>
      <c r="AF35" s="9"/>
      <c r="AG35" s="9"/>
      <c r="AH35" s="11" t="n">
        <f aca="false">(COUNTIF(C35:AG35,"H")*1)+(COUNTIF(C35:AG35,"H1")*0.5)+(COUNTIF(C35:AG35,"H2")*0.5)+(COUNTIF(C35:AG35,"Q")*0.25)+(COUNTIF(C35:AG35,"I")*1)+(COUNTIF(C35:AG35,"S")*0)+(COUNTIF(C35:AG35,"M")*1)+(COUNTIF(C35:AG35,"C")*0)+(COUNTIF(C35:AG35,"V")*1)+(COUNTIF(C35:AG35,"A")*1)</f>
        <v>0</v>
      </c>
    </row>
    <row r="36" customFormat="false" ht="19.5" hidden="false" customHeight="true" outlineLevel="0" collapsed="false">
      <c r="B36" s="8" t="n">
        <f aca="false">'January 2026'!B36</f>
        <v>0</v>
      </c>
      <c r="C36" s="9"/>
      <c r="D36" s="9"/>
      <c r="E36" s="9"/>
      <c r="F36" s="9"/>
      <c r="G36" s="10"/>
      <c r="H36" s="10"/>
      <c r="I36" s="9"/>
      <c r="J36" s="9"/>
      <c r="K36" s="9"/>
      <c r="L36" s="9"/>
      <c r="M36" s="9"/>
      <c r="N36" s="10"/>
      <c r="O36" s="10"/>
      <c r="P36" s="9"/>
      <c r="Q36" s="9"/>
      <c r="R36" s="9"/>
      <c r="S36" s="9"/>
      <c r="T36" s="9"/>
      <c r="U36" s="10"/>
      <c r="V36" s="10"/>
      <c r="W36" s="9"/>
      <c r="X36" s="9"/>
      <c r="Y36" s="9"/>
      <c r="Z36" s="9"/>
      <c r="AA36" s="9"/>
      <c r="AB36" s="10"/>
      <c r="AC36" s="10"/>
      <c r="AD36" s="9"/>
      <c r="AE36" s="9"/>
      <c r="AF36" s="9"/>
      <c r="AG36" s="9"/>
      <c r="AH36" s="11" t="n">
        <f aca="false">(COUNTIF(C36:AG36,"H")*1)+(COUNTIF(C36:AG36,"H1")*0.5)+(COUNTIF(C36:AG36,"H2")*0.5)+(COUNTIF(C36:AG36,"Q")*0.25)+(COUNTIF(C36:AG36,"I")*1)+(COUNTIF(C36:AG36,"S")*0)+(COUNTIF(C36:AG36,"M")*1)+(COUNTIF(C36:AG36,"C")*0)+(COUNTIF(C36:AG36,"V")*1)+(COUNTIF(C36:AG36,"A")*1)</f>
        <v>0</v>
      </c>
    </row>
    <row r="37" customFormat="false" ht="19.5" hidden="false" customHeight="true" outlineLevel="0" collapsed="false">
      <c r="B37" s="8" t="n">
        <f aca="false">'January 2026'!B37</f>
        <v>0</v>
      </c>
      <c r="C37" s="9"/>
      <c r="D37" s="9"/>
      <c r="E37" s="9"/>
      <c r="F37" s="9"/>
      <c r="G37" s="10"/>
      <c r="H37" s="10"/>
      <c r="I37" s="9"/>
      <c r="J37" s="9"/>
      <c r="K37" s="9"/>
      <c r="L37" s="9"/>
      <c r="M37" s="9"/>
      <c r="N37" s="10"/>
      <c r="O37" s="10"/>
      <c r="P37" s="9"/>
      <c r="Q37" s="9"/>
      <c r="R37" s="9"/>
      <c r="S37" s="9"/>
      <c r="T37" s="9"/>
      <c r="U37" s="10"/>
      <c r="V37" s="10"/>
      <c r="W37" s="9"/>
      <c r="X37" s="9"/>
      <c r="Y37" s="9"/>
      <c r="Z37" s="9"/>
      <c r="AA37" s="9"/>
      <c r="AB37" s="10"/>
      <c r="AC37" s="10"/>
      <c r="AD37" s="9"/>
      <c r="AE37" s="9"/>
      <c r="AF37" s="9"/>
      <c r="AG37" s="9"/>
      <c r="AH37" s="11" t="n">
        <f aca="false">(COUNTIF(C37:AG37,"H")*1)+(COUNTIF(C37:AG37,"H1")*0.5)+(COUNTIF(C37:AG37,"H2")*0.5)+(COUNTIF(C37:AG37,"Q")*0.25)+(COUNTIF(C37:AG37,"I")*1)+(COUNTIF(C37:AG37,"S")*0)+(COUNTIF(C37:AG37,"M")*1)+(COUNTIF(C37:AG37,"C")*0)+(COUNTIF(C37:AG37,"V")*1)+(COUNTIF(C37:AG37,"A")*1)</f>
        <v>0</v>
      </c>
    </row>
    <row r="38" customFormat="false" ht="19.5" hidden="false" customHeight="true" outlineLevel="0" collapsed="false">
      <c r="B38" s="8" t="n">
        <f aca="false">'January 2026'!B38</f>
        <v>0</v>
      </c>
      <c r="C38" s="9"/>
      <c r="D38" s="9"/>
      <c r="E38" s="9"/>
      <c r="F38" s="9"/>
      <c r="G38" s="10"/>
      <c r="H38" s="10"/>
      <c r="I38" s="9"/>
      <c r="J38" s="9"/>
      <c r="K38" s="9"/>
      <c r="L38" s="9"/>
      <c r="M38" s="9"/>
      <c r="N38" s="10"/>
      <c r="O38" s="10"/>
      <c r="P38" s="9"/>
      <c r="Q38" s="9"/>
      <c r="R38" s="9"/>
      <c r="S38" s="9"/>
      <c r="T38" s="9"/>
      <c r="U38" s="10"/>
      <c r="V38" s="10"/>
      <c r="W38" s="9"/>
      <c r="X38" s="9"/>
      <c r="Y38" s="9"/>
      <c r="Z38" s="9"/>
      <c r="AA38" s="9"/>
      <c r="AB38" s="10"/>
      <c r="AC38" s="10"/>
      <c r="AD38" s="9"/>
      <c r="AE38" s="9"/>
      <c r="AF38" s="9"/>
      <c r="AG38" s="9"/>
      <c r="AH38" s="11" t="n">
        <f aca="false">(COUNTIF(C38:AG38,"H")*1)+(COUNTIF(C38:AG38,"H1")*0.5)+(COUNTIF(C38:AG38,"H2")*0.5)+(COUNTIF(C38:AG38,"Q")*0.25)+(COUNTIF(C38:AG38,"I")*1)+(COUNTIF(C38:AG38,"S")*0)+(COUNTIF(C38:AG38,"M")*1)+(COUNTIF(C38:AG38,"C")*0)+(COUNTIF(C38:AG38,"V")*1)+(COUNTIF(C38:AG38,"A")*1)</f>
        <v>0</v>
      </c>
    </row>
    <row r="39" customFormat="false" ht="19.5" hidden="false" customHeight="true" outlineLevel="0" collapsed="false">
      <c r="B39" s="8" t="n">
        <f aca="false">'January 2026'!B39</f>
        <v>0</v>
      </c>
      <c r="C39" s="9"/>
      <c r="D39" s="9"/>
      <c r="E39" s="9"/>
      <c r="F39" s="9"/>
      <c r="G39" s="10"/>
      <c r="H39" s="10"/>
      <c r="I39" s="9"/>
      <c r="J39" s="9"/>
      <c r="K39" s="9"/>
      <c r="L39" s="9"/>
      <c r="M39" s="9"/>
      <c r="N39" s="10"/>
      <c r="O39" s="10"/>
      <c r="P39" s="9"/>
      <c r="Q39" s="9"/>
      <c r="R39" s="9"/>
      <c r="S39" s="9"/>
      <c r="T39" s="9"/>
      <c r="U39" s="10"/>
      <c r="V39" s="10"/>
      <c r="W39" s="9"/>
      <c r="X39" s="9"/>
      <c r="Y39" s="9"/>
      <c r="Z39" s="9"/>
      <c r="AA39" s="9"/>
      <c r="AB39" s="10"/>
      <c r="AC39" s="10"/>
      <c r="AD39" s="9"/>
      <c r="AE39" s="9"/>
      <c r="AF39" s="9"/>
      <c r="AG39" s="9"/>
      <c r="AH39" s="11" t="n">
        <f aca="false">(COUNTIF(C39:AG39,"H")*1)+(COUNTIF(C39:AG39,"H1")*0.5)+(COUNTIF(C39:AG39,"H2")*0.5)+(COUNTIF(C39:AG39,"Q")*0.25)+(COUNTIF(C39:AG39,"I")*1)+(COUNTIF(C39:AG39,"S")*0)+(COUNTIF(C39:AG39,"M")*1)+(COUNTIF(C39:AG39,"C")*0)+(COUNTIF(C39:AG39,"V")*1)+(COUNTIF(C39:AG39,"A")*1)</f>
        <v>0</v>
      </c>
    </row>
    <row r="40" customFormat="false" ht="19.5" hidden="false" customHeight="true" outlineLevel="0" collapsed="false">
      <c r="B40" s="8" t="n">
        <f aca="false">'January 2026'!B40</f>
        <v>0</v>
      </c>
      <c r="C40" s="9"/>
      <c r="D40" s="9"/>
      <c r="E40" s="9"/>
      <c r="F40" s="9"/>
      <c r="G40" s="10"/>
      <c r="H40" s="10"/>
      <c r="I40" s="9"/>
      <c r="J40" s="9"/>
      <c r="K40" s="9"/>
      <c r="L40" s="9"/>
      <c r="M40" s="9"/>
      <c r="N40" s="10"/>
      <c r="O40" s="10"/>
      <c r="P40" s="9"/>
      <c r="Q40" s="9"/>
      <c r="R40" s="9"/>
      <c r="S40" s="9"/>
      <c r="T40" s="9"/>
      <c r="U40" s="10"/>
      <c r="V40" s="10"/>
      <c r="W40" s="9"/>
      <c r="X40" s="9"/>
      <c r="Y40" s="9"/>
      <c r="Z40" s="9"/>
      <c r="AA40" s="9"/>
      <c r="AB40" s="10"/>
      <c r="AC40" s="10"/>
      <c r="AD40" s="9"/>
      <c r="AE40" s="9"/>
      <c r="AF40" s="9"/>
      <c r="AG40" s="9"/>
      <c r="AH40" s="11" t="n">
        <f aca="false">(COUNTIF(C40:AG40,"H")*1)+(COUNTIF(C40:AG40,"H1")*0.5)+(COUNTIF(C40:AG40,"H2")*0.5)+(COUNTIF(C40:AG40,"Q")*0.25)+(COUNTIF(C40:AG40,"I")*1)+(COUNTIF(C40:AG40,"S")*0)+(COUNTIF(C40:AG40,"M")*1)+(COUNTIF(C40:AG40,"C")*0)+(COUNTIF(C40:AG40,"V")*1)+(COUNTIF(C40:AG40,"A")*1)</f>
        <v>0</v>
      </c>
    </row>
    <row r="41" customFormat="false" ht="19.5" hidden="false" customHeight="true" outlineLevel="0" collapsed="false">
      <c r="B41" s="8" t="n">
        <f aca="false">'January 2026'!B41</f>
        <v>0</v>
      </c>
      <c r="C41" s="9"/>
      <c r="D41" s="9"/>
      <c r="E41" s="9"/>
      <c r="F41" s="9"/>
      <c r="G41" s="10"/>
      <c r="H41" s="10"/>
      <c r="I41" s="9"/>
      <c r="J41" s="9"/>
      <c r="K41" s="9"/>
      <c r="L41" s="9"/>
      <c r="M41" s="9"/>
      <c r="N41" s="10"/>
      <c r="O41" s="10"/>
      <c r="P41" s="9"/>
      <c r="Q41" s="9"/>
      <c r="R41" s="9"/>
      <c r="S41" s="9"/>
      <c r="T41" s="9"/>
      <c r="U41" s="10"/>
      <c r="V41" s="10"/>
      <c r="W41" s="9"/>
      <c r="X41" s="9"/>
      <c r="Y41" s="9"/>
      <c r="Z41" s="9"/>
      <c r="AA41" s="9"/>
      <c r="AB41" s="10"/>
      <c r="AC41" s="10"/>
      <c r="AD41" s="9"/>
      <c r="AE41" s="9"/>
      <c r="AF41" s="9"/>
      <c r="AG41" s="9"/>
      <c r="AH41" s="11" t="n">
        <f aca="false">(COUNTIF(C41:AG41,"H")*1)+(COUNTIF(C41:AG41,"H1")*0.5)+(COUNTIF(C41:AG41,"H2")*0.5)+(COUNTIF(C41:AG41,"Q")*0.25)+(COUNTIF(C41:AG41,"I")*1)+(COUNTIF(C41:AG41,"S")*0)+(COUNTIF(C41:AG41,"M")*1)+(COUNTIF(C41:AG41,"C")*0)+(COUNTIF(C41:AG41,"V")*1)+(COUNTIF(C41:AG41,"A")*1)</f>
        <v>0</v>
      </c>
    </row>
    <row r="42" customFormat="false" ht="19.5" hidden="false" customHeight="true" outlineLevel="0" collapsed="false">
      <c r="B42" s="8" t="n">
        <f aca="false">'January 2026'!B42</f>
        <v>0</v>
      </c>
      <c r="C42" s="9"/>
      <c r="D42" s="9"/>
      <c r="E42" s="9"/>
      <c r="F42" s="9"/>
      <c r="G42" s="10"/>
      <c r="H42" s="10"/>
      <c r="I42" s="9"/>
      <c r="J42" s="9"/>
      <c r="K42" s="9"/>
      <c r="L42" s="9"/>
      <c r="M42" s="9"/>
      <c r="N42" s="10"/>
      <c r="O42" s="10"/>
      <c r="P42" s="9"/>
      <c r="Q42" s="9"/>
      <c r="R42" s="9"/>
      <c r="S42" s="9"/>
      <c r="T42" s="9"/>
      <c r="U42" s="10"/>
      <c r="V42" s="10"/>
      <c r="W42" s="9"/>
      <c r="X42" s="9"/>
      <c r="Y42" s="9"/>
      <c r="Z42" s="9"/>
      <c r="AA42" s="9"/>
      <c r="AB42" s="10"/>
      <c r="AC42" s="10"/>
      <c r="AD42" s="9"/>
      <c r="AE42" s="9"/>
      <c r="AF42" s="9"/>
      <c r="AG42" s="9"/>
      <c r="AH42" s="11" t="n">
        <f aca="false">(COUNTIF(C42:AG42,"H")*1)+(COUNTIF(C42:AG42,"H1")*0.5)+(COUNTIF(C42:AG42,"H2")*0.5)+(COUNTIF(C42:AG42,"Q")*0.25)+(COUNTIF(C42:AG42,"I")*1)+(COUNTIF(C42:AG42,"S")*0)+(COUNTIF(C42:AG42,"M")*1)+(COUNTIF(C42:AG42,"C")*0)+(COUNTIF(C42:AG42,"V")*1)+(COUNTIF(C42:AG42,"A")*1)</f>
        <v>0</v>
      </c>
    </row>
    <row r="43" customFormat="false" ht="19.5" hidden="false" customHeight="true" outlineLevel="0" collapsed="false">
      <c r="B43" s="8" t="n">
        <f aca="false">'January 2026'!B43</f>
        <v>0</v>
      </c>
      <c r="C43" s="9"/>
      <c r="D43" s="9"/>
      <c r="E43" s="9"/>
      <c r="F43" s="9"/>
      <c r="G43" s="10"/>
      <c r="H43" s="10"/>
      <c r="I43" s="9"/>
      <c r="J43" s="9"/>
      <c r="K43" s="9"/>
      <c r="L43" s="9"/>
      <c r="M43" s="9"/>
      <c r="N43" s="10"/>
      <c r="O43" s="10"/>
      <c r="P43" s="9"/>
      <c r="Q43" s="9"/>
      <c r="R43" s="9"/>
      <c r="S43" s="9"/>
      <c r="T43" s="9"/>
      <c r="U43" s="10"/>
      <c r="V43" s="10"/>
      <c r="W43" s="9"/>
      <c r="X43" s="9"/>
      <c r="Y43" s="9"/>
      <c r="Z43" s="9"/>
      <c r="AA43" s="9"/>
      <c r="AB43" s="10"/>
      <c r="AC43" s="10"/>
      <c r="AD43" s="9"/>
      <c r="AE43" s="9"/>
      <c r="AF43" s="9"/>
      <c r="AG43" s="9"/>
      <c r="AH43" s="11" t="n">
        <f aca="false">(COUNTIF(C43:AG43,"H")*1)+(COUNTIF(C43:AG43,"H1")*0.5)+(COUNTIF(C43:AG43,"H2")*0.5)+(COUNTIF(C43:AG43,"Q")*0.25)+(COUNTIF(C43:AG43,"I")*1)+(COUNTIF(C43:AG43,"S")*0)+(COUNTIF(C43:AG43,"M")*1)+(COUNTIF(C43:AG43,"C")*0)+(COUNTIF(C43:AG43,"V")*1)+(COUNTIF(C43:AG43,"A")*1)</f>
        <v>0</v>
      </c>
    </row>
    <row r="44" customFormat="false" ht="19.5" hidden="false" customHeight="true" outlineLevel="0" collapsed="false">
      <c r="B44" s="8" t="n">
        <f aca="false">'January 2026'!B44</f>
        <v>0</v>
      </c>
      <c r="C44" s="9"/>
      <c r="D44" s="9"/>
      <c r="E44" s="9"/>
      <c r="F44" s="9"/>
      <c r="G44" s="10"/>
      <c r="H44" s="10"/>
      <c r="I44" s="9"/>
      <c r="J44" s="9"/>
      <c r="K44" s="9"/>
      <c r="L44" s="9"/>
      <c r="M44" s="9"/>
      <c r="N44" s="10"/>
      <c r="O44" s="10"/>
      <c r="P44" s="9"/>
      <c r="Q44" s="9"/>
      <c r="R44" s="9"/>
      <c r="S44" s="9"/>
      <c r="T44" s="9"/>
      <c r="U44" s="10"/>
      <c r="V44" s="10"/>
      <c r="W44" s="9"/>
      <c r="X44" s="9"/>
      <c r="Y44" s="9"/>
      <c r="Z44" s="9"/>
      <c r="AA44" s="9"/>
      <c r="AB44" s="10"/>
      <c r="AC44" s="10"/>
      <c r="AD44" s="9"/>
      <c r="AE44" s="9"/>
      <c r="AF44" s="9"/>
      <c r="AG44" s="9"/>
      <c r="AH44" s="11" t="n">
        <f aca="false">(COUNTIF(C44:AG44,"H")*1)+(COUNTIF(C44:AG44,"H1")*0.5)+(COUNTIF(C44:AG44,"H2")*0.5)+(COUNTIF(C44:AG44,"Q")*0.25)+(COUNTIF(C44:AG44,"I")*1)+(COUNTIF(C44:AG44,"S")*0)+(COUNTIF(C44:AG44,"M")*1)+(COUNTIF(C44:AG44,"C")*0)+(COUNTIF(C44:AG44,"V")*1)+(COUNTIF(C44:AG44,"A")*1)</f>
        <v>0</v>
      </c>
    </row>
    <row r="45" customFormat="false" ht="19.5" hidden="false" customHeight="true" outlineLevel="0" collapsed="false">
      <c r="B45" s="8" t="n">
        <f aca="false">'January 2026'!B45</f>
        <v>0</v>
      </c>
      <c r="C45" s="9"/>
      <c r="D45" s="9"/>
      <c r="E45" s="9"/>
      <c r="F45" s="9"/>
      <c r="G45" s="10"/>
      <c r="H45" s="10"/>
      <c r="I45" s="9"/>
      <c r="J45" s="9"/>
      <c r="K45" s="9"/>
      <c r="L45" s="9"/>
      <c r="M45" s="9"/>
      <c r="N45" s="10"/>
      <c r="O45" s="10"/>
      <c r="P45" s="9"/>
      <c r="Q45" s="9"/>
      <c r="R45" s="9"/>
      <c r="S45" s="9"/>
      <c r="T45" s="9"/>
      <c r="U45" s="10"/>
      <c r="V45" s="10"/>
      <c r="W45" s="9"/>
      <c r="X45" s="9"/>
      <c r="Y45" s="9"/>
      <c r="Z45" s="9"/>
      <c r="AA45" s="9"/>
      <c r="AB45" s="10"/>
      <c r="AC45" s="10"/>
      <c r="AD45" s="9"/>
      <c r="AE45" s="9"/>
      <c r="AF45" s="9"/>
      <c r="AG45" s="9"/>
      <c r="AH45" s="11" t="n">
        <f aca="false">(COUNTIF(C45:AG45,"H")*1)+(COUNTIF(C45:AG45,"H1")*0.5)+(COUNTIF(C45:AG45,"H2")*0.5)+(COUNTIF(C45:AG45,"Q")*0.25)+(COUNTIF(C45:AG45,"I")*1)+(COUNTIF(C45:AG45,"S")*0)+(COUNTIF(C45:AG45,"M")*1)+(COUNTIF(C45:AG45,"C")*0)+(COUNTIF(C45:AG45,"V")*1)+(COUNTIF(C45:AG45,"A")*1)</f>
        <v>0</v>
      </c>
    </row>
    <row r="46" customFormat="false" ht="19.5" hidden="false" customHeight="true" outlineLevel="0" collapsed="false">
      <c r="B46" s="8" t="n">
        <f aca="false">'January 2026'!B46</f>
        <v>0</v>
      </c>
      <c r="C46" s="9"/>
      <c r="D46" s="9"/>
      <c r="E46" s="9"/>
      <c r="F46" s="9"/>
      <c r="G46" s="10"/>
      <c r="H46" s="10"/>
      <c r="I46" s="9"/>
      <c r="J46" s="9"/>
      <c r="K46" s="9"/>
      <c r="L46" s="9"/>
      <c r="M46" s="9"/>
      <c r="N46" s="10"/>
      <c r="O46" s="10"/>
      <c r="P46" s="9"/>
      <c r="Q46" s="9"/>
      <c r="R46" s="9"/>
      <c r="S46" s="9"/>
      <c r="T46" s="9"/>
      <c r="U46" s="10"/>
      <c r="V46" s="10"/>
      <c r="W46" s="9"/>
      <c r="X46" s="9"/>
      <c r="Y46" s="9"/>
      <c r="Z46" s="9"/>
      <c r="AA46" s="9"/>
      <c r="AB46" s="10"/>
      <c r="AC46" s="10"/>
      <c r="AD46" s="9"/>
      <c r="AE46" s="9"/>
      <c r="AF46" s="9"/>
      <c r="AG46" s="9"/>
      <c r="AH46" s="11" t="n">
        <f aca="false">(COUNTIF(C46:AG46,"H")*1)+(COUNTIF(C46:AG46,"H1")*0.5)+(COUNTIF(C46:AG46,"H2")*0.5)+(COUNTIF(C46:AG46,"Q")*0.25)+(COUNTIF(C46:AG46,"I")*1)+(COUNTIF(C46:AG46,"S")*0)+(COUNTIF(C46:AG46,"M")*1)+(COUNTIF(C46:AG46,"C")*0)+(COUNTIF(C46:AG46,"V")*1)+(COUNTIF(C46:AG46,"A")*1)</f>
        <v>0</v>
      </c>
    </row>
    <row r="47" customFormat="false" ht="19.5" hidden="false" customHeight="true" outlineLevel="0" collapsed="false">
      <c r="B47" s="8" t="n">
        <f aca="false">'January 2026'!B47</f>
        <v>0</v>
      </c>
      <c r="C47" s="9"/>
      <c r="D47" s="9"/>
      <c r="E47" s="9"/>
      <c r="F47" s="9"/>
      <c r="G47" s="10"/>
      <c r="H47" s="10"/>
      <c r="I47" s="9"/>
      <c r="J47" s="9"/>
      <c r="K47" s="9"/>
      <c r="L47" s="9"/>
      <c r="M47" s="9"/>
      <c r="N47" s="10"/>
      <c r="O47" s="10"/>
      <c r="P47" s="9"/>
      <c r="Q47" s="9"/>
      <c r="R47" s="9"/>
      <c r="S47" s="9"/>
      <c r="T47" s="9"/>
      <c r="U47" s="10"/>
      <c r="V47" s="10"/>
      <c r="W47" s="9"/>
      <c r="X47" s="9"/>
      <c r="Y47" s="9"/>
      <c r="Z47" s="9"/>
      <c r="AA47" s="9"/>
      <c r="AB47" s="10"/>
      <c r="AC47" s="10"/>
      <c r="AD47" s="9"/>
      <c r="AE47" s="9"/>
      <c r="AF47" s="9"/>
      <c r="AG47" s="9"/>
      <c r="AH47" s="11" t="n">
        <f aca="false">(COUNTIF(C47:AG47,"H")*1)+(COUNTIF(C47:AG47,"H1")*0.5)+(COUNTIF(C47:AG47,"H2")*0.5)+(COUNTIF(C47:AG47,"Q")*0.25)+(COUNTIF(C47:AG47,"I")*1)+(COUNTIF(C47:AG47,"S")*0)+(COUNTIF(C47:AG47,"M")*1)+(COUNTIF(C47:AG47,"C")*0)+(COUNTIF(C47:AG47,"V")*1)+(COUNTIF(C47:AG47,"A")*1)</f>
        <v>0</v>
      </c>
    </row>
    <row r="48" customFormat="false" ht="19.5" hidden="false" customHeight="true" outlineLevel="0" collapsed="false">
      <c r="B48" s="8" t="n">
        <f aca="false">'January 2026'!B48</f>
        <v>0</v>
      </c>
      <c r="C48" s="9"/>
      <c r="D48" s="9"/>
      <c r="E48" s="9"/>
      <c r="F48" s="9"/>
      <c r="G48" s="10"/>
      <c r="H48" s="10"/>
      <c r="I48" s="9"/>
      <c r="J48" s="9"/>
      <c r="K48" s="9"/>
      <c r="L48" s="9"/>
      <c r="M48" s="9"/>
      <c r="N48" s="10"/>
      <c r="O48" s="10"/>
      <c r="P48" s="9"/>
      <c r="Q48" s="9"/>
      <c r="R48" s="9"/>
      <c r="S48" s="9"/>
      <c r="T48" s="9"/>
      <c r="U48" s="10"/>
      <c r="V48" s="10"/>
      <c r="W48" s="9"/>
      <c r="X48" s="9"/>
      <c r="Y48" s="9"/>
      <c r="Z48" s="9"/>
      <c r="AA48" s="9"/>
      <c r="AB48" s="10"/>
      <c r="AC48" s="10"/>
      <c r="AD48" s="9"/>
      <c r="AE48" s="9"/>
      <c r="AF48" s="9"/>
      <c r="AG48" s="9"/>
      <c r="AH48" s="11" t="n">
        <f aca="false">(COUNTIF(C48:AG48,"H")*1)+(COUNTIF(C48:AG48,"H1")*0.5)+(COUNTIF(C48:AG48,"H2")*0.5)+(COUNTIF(C48:AG48,"Q")*0.25)+(COUNTIF(C48:AG48,"I")*1)+(COUNTIF(C48:AG48,"S")*0)+(COUNTIF(C48:AG48,"M")*1)+(COUNTIF(C48:AG48,"C")*0)+(COUNTIF(C48:AG48,"V")*1)+(COUNTIF(C48:AG48,"A")*1)</f>
        <v>0</v>
      </c>
    </row>
    <row r="49" customFormat="false" ht="19.5" hidden="false" customHeight="true" outlineLevel="0" collapsed="false">
      <c r="B49" s="8" t="n">
        <f aca="false">'January 2026'!B49</f>
        <v>0</v>
      </c>
      <c r="C49" s="9"/>
      <c r="D49" s="9"/>
      <c r="E49" s="9"/>
      <c r="F49" s="9"/>
      <c r="G49" s="10"/>
      <c r="H49" s="10"/>
      <c r="I49" s="9"/>
      <c r="J49" s="9"/>
      <c r="K49" s="9"/>
      <c r="L49" s="9"/>
      <c r="M49" s="9"/>
      <c r="N49" s="10"/>
      <c r="O49" s="10"/>
      <c r="P49" s="9"/>
      <c r="Q49" s="9"/>
      <c r="R49" s="9"/>
      <c r="S49" s="9"/>
      <c r="T49" s="9"/>
      <c r="U49" s="10"/>
      <c r="V49" s="10"/>
      <c r="W49" s="9"/>
      <c r="X49" s="9"/>
      <c r="Y49" s="9"/>
      <c r="Z49" s="9"/>
      <c r="AA49" s="9"/>
      <c r="AB49" s="10"/>
      <c r="AC49" s="10"/>
      <c r="AD49" s="9"/>
      <c r="AE49" s="9"/>
      <c r="AF49" s="9"/>
      <c r="AG49" s="9"/>
      <c r="AH49" s="11" t="n">
        <f aca="false">(COUNTIF(C49:AG49,"H")*1)+(COUNTIF(C49:AG49,"H1")*0.5)+(COUNTIF(C49:AG49,"H2")*0.5)+(COUNTIF(C49:AG49,"Q")*0.25)+(COUNTIF(C49:AG49,"I")*1)+(COUNTIF(C49:AG49,"S")*0)+(COUNTIF(C49:AG49,"M")*1)+(COUNTIF(C49:AG49,"C")*0)+(COUNTIF(C49:AG49,"V")*1)+(COUNTIF(C49:AG49,"A")*1)</f>
        <v>0</v>
      </c>
    </row>
    <row r="50" customFormat="false" ht="19.5" hidden="false" customHeight="true" outlineLevel="0" collapsed="false">
      <c r="B50" s="8" t="n">
        <f aca="false">'January 2026'!B50</f>
        <v>0</v>
      </c>
      <c r="C50" s="9"/>
      <c r="D50" s="9"/>
      <c r="E50" s="9"/>
      <c r="F50" s="9"/>
      <c r="G50" s="10"/>
      <c r="H50" s="10"/>
      <c r="I50" s="9"/>
      <c r="J50" s="9"/>
      <c r="K50" s="9"/>
      <c r="L50" s="9"/>
      <c r="M50" s="9"/>
      <c r="N50" s="10"/>
      <c r="O50" s="10"/>
      <c r="P50" s="9"/>
      <c r="Q50" s="9"/>
      <c r="R50" s="9"/>
      <c r="S50" s="9"/>
      <c r="T50" s="9"/>
      <c r="U50" s="10"/>
      <c r="V50" s="10"/>
      <c r="W50" s="9"/>
      <c r="X50" s="9"/>
      <c r="Y50" s="9"/>
      <c r="Z50" s="9"/>
      <c r="AA50" s="9"/>
      <c r="AB50" s="10"/>
      <c r="AC50" s="10"/>
      <c r="AD50" s="9"/>
      <c r="AE50" s="9"/>
      <c r="AF50" s="9"/>
      <c r="AG50" s="9"/>
      <c r="AH50" s="11" t="n">
        <f aca="false">(COUNTIF(C50:AG50,"H")*1)+(COUNTIF(C50:AG50,"H1")*0.5)+(COUNTIF(C50:AG50,"H2")*0.5)+(COUNTIF(C50:AG50,"Q")*0.25)+(COUNTIF(C50:AG50,"I")*1)+(COUNTIF(C50:AG50,"S")*0)+(COUNTIF(C50:AG50,"M")*1)+(COUNTIF(C50:AG50,"C")*0)+(COUNTIF(C50:AG50,"V")*1)+(COUNTIF(C50:AG50,"A")*1)</f>
        <v>0</v>
      </c>
    </row>
    <row r="51" customFormat="false" ht="19.5" hidden="false" customHeight="true" outlineLevel="0" collapsed="false">
      <c r="B51" s="8" t="n">
        <f aca="false">'January 2026'!B51</f>
        <v>0</v>
      </c>
      <c r="C51" s="9"/>
      <c r="D51" s="9"/>
      <c r="E51" s="9"/>
      <c r="F51" s="9"/>
      <c r="G51" s="10"/>
      <c r="H51" s="10"/>
      <c r="I51" s="9"/>
      <c r="J51" s="9"/>
      <c r="K51" s="9"/>
      <c r="L51" s="9"/>
      <c r="M51" s="9"/>
      <c r="N51" s="10"/>
      <c r="O51" s="10"/>
      <c r="P51" s="9"/>
      <c r="Q51" s="9"/>
      <c r="R51" s="9"/>
      <c r="S51" s="9"/>
      <c r="T51" s="9"/>
      <c r="U51" s="10"/>
      <c r="V51" s="10"/>
      <c r="W51" s="9"/>
      <c r="X51" s="9"/>
      <c r="Y51" s="9"/>
      <c r="Z51" s="9"/>
      <c r="AA51" s="9"/>
      <c r="AB51" s="10"/>
      <c r="AC51" s="10"/>
      <c r="AD51" s="9"/>
      <c r="AE51" s="9"/>
      <c r="AF51" s="9"/>
      <c r="AG51" s="9"/>
      <c r="AH51" s="11" t="n">
        <f aca="false">(COUNTIF(C51:AG51,"H")*1)+(COUNTIF(C51:AG51,"H1")*0.5)+(COUNTIF(C51:AG51,"H2")*0.5)+(COUNTIF(C51:AG51,"Q")*0.25)+(COUNTIF(C51:AG51,"I")*1)+(COUNTIF(C51:AG51,"S")*0)+(COUNTIF(C51:AG51,"M")*1)+(COUNTIF(C51:AG51,"C")*0)+(COUNTIF(C51:AG51,"V")*1)+(COUNTIF(C51:AG51,"A")*1)</f>
        <v>0</v>
      </c>
    </row>
    <row r="52" customFormat="false" ht="19.5" hidden="false" customHeight="true" outlineLevel="0" collapsed="false">
      <c r="B52" s="8" t="n">
        <f aca="false">'January 2026'!B52</f>
        <v>0</v>
      </c>
      <c r="C52" s="9"/>
      <c r="D52" s="9"/>
      <c r="E52" s="9"/>
      <c r="F52" s="9"/>
      <c r="G52" s="10"/>
      <c r="H52" s="10"/>
      <c r="I52" s="9"/>
      <c r="J52" s="9"/>
      <c r="K52" s="9"/>
      <c r="L52" s="9"/>
      <c r="M52" s="9"/>
      <c r="N52" s="10"/>
      <c r="O52" s="10"/>
      <c r="P52" s="9"/>
      <c r="Q52" s="9"/>
      <c r="R52" s="9"/>
      <c r="S52" s="9"/>
      <c r="T52" s="9"/>
      <c r="U52" s="10"/>
      <c r="V52" s="10"/>
      <c r="W52" s="9"/>
      <c r="X52" s="9"/>
      <c r="Y52" s="9"/>
      <c r="Z52" s="9"/>
      <c r="AA52" s="9"/>
      <c r="AB52" s="10"/>
      <c r="AC52" s="10"/>
      <c r="AD52" s="9"/>
      <c r="AE52" s="9"/>
      <c r="AF52" s="9"/>
      <c r="AG52" s="9"/>
      <c r="AH52" s="11" t="n">
        <f aca="false">(COUNTIF(C52:AG52,"H")*1)+(COUNTIF(C52:AG52,"H1")*0.5)+(COUNTIF(C52:AG52,"H2")*0.5)+(COUNTIF(C52:AG52,"Q")*0.25)+(COUNTIF(C52:AG52,"I")*1)+(COUNTIF(C52:AG52,"S")*0)+(COUNTIF(C52:AG52,"M")*1)+(COUNTIF(C52:AG52,"C")*0)+(COUNTIF(C52:AG52,"V")*1)+(COUNTIF(C52:AG52,"A")*1)</f>
        <v>0</v>
      </c>
    </row>
    <row r="53" customFormat="false" ht="19.5" hidden="false" customHeight="true" outlineLevel="0" collapsed="false">
      <c r="B53" s="8" t="n">
        <f aca="false">'January 2026'!B53</f>
        <v>0</v>
      </c>
      <c r="C53" s="9"/>
      <c r="D53" s="9"/>
      <c r="E53" s="9"/>
      <c r="F53" s="9"/>
      <c r="G53" s="10"/>
      <c r="H53" s="10"/>
      <c r="I53" s="9"/>
      <c r="J53" s="9"/>
      <c r="K53" s="9"/>
      <c r="L53" s="9"/>
      <c r="M53" s="9"/>
      <c r="N53" s="10"/>
      <c r="O53" s="10"/>
      <c r="P53" s="9"/>
      <c r="Q53" s="9"/>
      <c r="R53" s="9"/>
      <c r="S53" s="9"/>
      <c r="T53" s="9"/>
      <c r="U53" s="10"/>
      <c r="V53" s="10"/>
      <c r="W53" s="9"/>
      <c r="X53" s="9"/>
      <c r="Y53" s="9"/>
      <c r="Z53" s="9"/>
      <c r="AA53" s="9"/>
      <c r="AB53" s="10"/>
      <c r="AC53" s="10"/>
      <c r="AD53" s="9"/>
      <c r="AE53" s="9"/>
      <c r="AF53" s="9"/>
      <c r="AG53" s="9"/>
      <c r="AH53" s="11" t="n">
        <f aca="false">(COUNTIF(C53:AG53,"H")*1)+(COUNTIF(C53:AG53,"H1")*0.5)+(COUNTIF(C53:AG53,"H2")*0.5)+(COUNTIF(C53:AG53,"Q")*0.25)+(COUNTIF(C53:AG53,"I")*1)+(COUNTIF(C53:AG53,"S")*0)+(COUNTIF(C53:AG53,"M")*1)+(COUNTIF(C53:AG53,"C")*0)+(COUNTIF(C53:AG53,"V")*1)+(COUNTIF(C53:AG53,"A")*1)</f>
        <v>0</v>
      </c>
    </row>
    <row r="54" customFormat="false" ht="19.5" hidden="false" customHeight="true" outlineLevel="0" collapsed="false">
      <c r="B54" s="8" t="n">
        <f aca="false">'January 2026'!B54</f>
        <v>0</v>
      </c>
      <c r="C54" s="9"/>
      <c r="D54" s="9"/>
      <c r="E54" s="9"/>
      <c r="F54" s="9"/>
      <c r="G54" s="10"/>
      <c r="H54" s="10"/>
      <c r="I54" s="9"/>
      <c r="J54" s="9"/>
      <c r="K54" s="9"/>
      <c r="L54" s="9"/>
      <c r="M54" s="9"/>
      <c r="N54" s="10"/>
      <c r="O54" s="10"/>
      <c r="P54" s="9"/>
      <c r="Q54" s="9"/>
      <c r="R54" s="9"/>
      <c r="S54" s="9"/>
      <c r="T54" s="9"/>
      <c r="U54" s="10"/>
      <c r="V54" s="10"/>
      <c r="W54" s="9"/>
      <c r="X54" s="9"/>
      <c r="Y54" s="9"/>
      <c r="Z54" s="9"/>
      <c r="AA54" s="9"/>
      <c r="AB54" s="10"/>
      <c r="AC54" s="10"/>
      <c r="AD54" s="9"/>
      <c r="AE54" s="9"/>
      <c r="AF54" s="9"/>
      <c r="AG54" s="9"/>
      <c r="AH54" s="11" t="n">
        <f aca="false">(COUNTIF(C54:AG54,"H")*1)+(COUNTIF(C54:AG54,"H1")*0.5)+(COUNTIF(C54:AG54,"H2")*0.5)+(COUNTIF(C54:AG54,"Q")*0.25)+(COUNTIF(C54:AG54,"I")*1)+(COUNTIF(C54:AG54,"S")*0)+(COUNTIF(C54:AG54,"M")*1)+(COUNTIF(C54:AG54,"C")*0)+(COUNTIF(C54:AG54,"V")*1)+(COUNTIF(C54:AG54,"A")*1)</f>
        <v>0</v>
      </c>
    </row>
    <row r="55" customFormat="false" ht="19.5" hidden="false" customHeight="true" outlineLevel="0" collapsed="false">
      <c r="B55" s="8" t="n">
        <f aca="false">'January 2026'!B55</f>
        <v>0</v>
      </c>
      <c r="C55" s="9"/>
      <c r="D55" s="9"/>
      <c r="E55" s="9"/>
      <c r="F55" s="9"/>
      <c r="G55" s="10"/>
      <c r="H55" s="10"/>
      <c r="I55" s="9"/>
      <c r="J55" s="9"/>
      <c r="K55" s="9"/>
      <c r="L55" s="9"/>
      <c r="M55" s="9"/>
      <c r="N55" s="10"/>
      <c r="O55" s="10"/>
      <c r="P55" s="9"/>
      <c r="Q55" s="9"/>
      <c r="R55" s="9"/>
      <c r="S55" s="9"/>
      <c r="T55" s="9"/>
      <c r="U55" s="10"/>
      <c r="V55" s="10"/>
      <c r="W55" s="9"/>
      <c r="X55" s="9"/>
      <c r="Y55" s="9"/>
      <c r="Z55" s="9"/>
      <c r="AA55" s="9"/>
      <c r="AB55" s="10"/>
      <c r="AC55" s="10"/>
      <c r="AD55" s="9"/>
      <c r="AE55" s="9"/>
      <c r="AF55" s="9"/>
      <c r="AG55" s="9"/>
      <c r="AH55" s="11" t="n">
        <f aca="false">(COUNTIF(C55:AG55,"H")*1)+(COUNTIF(C55:AG55,"H1")*0.5)+(COUNTIF(C55:AG55,"H2")*0.5)+(COUNTIF(C55:AG55,"Q")*0.25)+(COUNTIF(C55:AG55,"I")*1)+(COUNTIF(C55:AG55,"S")*0)+(COUNTIF(C55:AG55,"M")*1)+(COUNTIF(C55:AG55,"C")*0)+(COUNTIF(C55:AG55,"V")*1)+(COUNTIF(C55:AG55,"A")*1)</f>
        <v>0</v>
      </c>
    </row>
    <row r="57" customFormat="false" ht="15.75" hidden="false" customHeight="false" outlineLevel="0" collapsed="false">
      <c r="B57" s="24" t="s">
        <v>128</v>
      </c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</row>
    <row r="58" customFormat="false" ht="15.75" hidden="false" customHeight="false" outlineLevel="0" collapsed="false">
      <c r="B58" s="25" t="s">
        <v>87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</row>
  </sheetData>
  <mergeCells count="12">
    <mergeCell ref="C1:AG1"/>
    <mergeCell ref="C2:H2"/>
    <mergeCell ref="I2:O2"/>
    <mergeCell ref="P2:V2"/>
    <mergeCell ref="W2:AC2"/>
    <mergeCell ref="AD2:AG2"/>
    <mergeCell ref="AH3:AH5"/>
    <mergeCell ref="AJ3:AJ5"/>
    <mergeCell ref="AK3:AK5"/>
    <mergeCell ref="AL3:AL5"/>
    <mergeCell ref="B57:AG57"/>
    <mergeCell ref="B58:AG58"/>
  </mergeCells>
  <conditionalFormatting sqref="C6:AG55">
    <cfRule type="expression" priority="2" aboveAverage="0" equalAverage="0" bottom="0" percent="0" rank="0" text="" dxfId="110">
      <formula>NOT(ISERROR(SEARCH("H1", C6)))</formula>
    </cfRule>
    <cfRule type="expression" priority="3" aboveAverage="0" equalAverage="0" bottom="0" percent="0" rank="0" text="" dxfId="111">
      <formula>NOT(ISERROR(SEARCH("H2", C6)))</formula>
    </cfRule>
    <cfRule type="expression" priority="4" aboveAverage="0" equalAverage="0" bottom="0" percent="0" rank="0" text="" dxfId="112">
      <formula>NOT(ISERROR(SEARCH("H", C6)))</formula>
    </cfRule>
    <cfRule type="expression" priority="5" aboveAverage="0" equalAverage="0" bottom="0" percent="0" rank="0" text="" dxfId="113">
      <formula>NOT(ISERROR(SEARCH("Q", C6)))</formula>
    </cfRule>
    <cfRule type="expression" priority="6" aboveAverage="0" equalAverage="0" bottom="0" percent="0" rank="0" text="" dxfId="114">
      <formula>NOT(ISERROR(SEARCH("I", C6)))</formula>
    </cfRule>
    <cfRule type="expression" priority="7" aboveAverage="0" equalAverage="0" bottom="0" percent="0" rank="0" text="" dxfId="115">
      <formula>NOT(ISERROR(SEARCH("S", C6)))</formula>
    </cfRule>
    <cfRule type="expression" priority="8" aboveAverage="0" equalAverage="0" bottom="0" percent="0" rank="0" text="" dxfId="116">
      <formula>NOT(ISERROR(SEARCH("M", C6)))</formula>
    </cfRule>
    <cfRule type="expression" priority="9" aboveAverage="0" equalAverage="0" bottom="0" percent="0" rank="0" text="" dxfId="117">
      <formula>NOT(ISERROR(SEARCH("C", C6)))</formula>
    </cfRule>
    <cfRule type="expression" priority="10" aboveAverage="0" equalAverage="0" bottom="0" percent="0" rank="0" text="" dxfId="118">
      <formula>NOT(ISERROR(SEARCH("V", C6)))</formula>
    </cfRule>
    <cfRule type="expression" priority="11" aboveAverage="0" equalAverage="0" bottom="0" percent="0" rank="0" text="" dxfId="119">
      <formula>NOT(ISERROR(SEARCH("A", C6)))</formula>
    </cfRule>
  </conditionalFormatting>
  <hyperlinks>
    <hyperlink ref="B58" r:id="rId1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0.5078125" defaultRowHeight="15.75" zeroHeight="false" outlineLevelRow="0" outlineLevelCol="0"/>
  <cols>
    <col collapsed="false" customWidth="true" hidden="false" outlineLevel="0" max="1" min="1" style="0" width="4.12"/>
    <col collapsed="false" customWidth="true" hidden="false" outlineLevel="0" max="2" min="2" style="0" width="23.51"/>
    <col collapsed="false" customWidth="true" hidden="false" outlineLevel="0" max="6" min="6" style="0" width="2"/>
    <col collapsed="false" customWidth="true" hidden="false" outlineLevel="0" max="9" min="9" style="0" width="2"/>
  </cols>
  <sheetData>
    <row r="1" customFormat="false" ht="12" hidden="false" customHeight="true" outlineLevel="0" collapsed="false"/>
    <row r="2" customFormat="false" ht="12" hidden="false" customHeight="true" outlineLevel="0" collapsed="false">
      <c r="J2" s="1" t="s">
        <v>129</v>
      </c>
      <c r="K2" s="1"/>
      <c r="L2" s="1"/>
      <c r="M2" s="1"/>
      <c r="N2" s="1"/>
      <c r="O2" s="1"/>
      <c r="P2" s="1"/>
      <c r="Q2" s="1"/>
      <c r="R2" s="1"/>
      <c r="S2" s="1"/>
    </row>
    <row r="3" customFormat="false" ht="45" hidden="false" customHeight="true" outlineLevel="0" collapsed="false">
      <c r="B3" s="27"/>
      <c r="C3" s="27" t="s">
        <v>130</v>
      </c>
      <c r="D3" s="27" t="s">
        <v>131</v>
      </c>
      <c r="E3" s="27" t="s">
        <v>132</v>
      </c>
      <c r="G3" s="27" t="s">
        <v>133</v>
      </c>
      <c r="H3" s="27" t="s">
        <v>134</v>
      </c>
      <c r="J3" s="27" t="s">
        <v>21</v>
      </c>
      <c r="K3" s="27" t="s">
        <v>24</v>
      </c>
      <c r="L3" s="27" t="s">
        <v>27</v>
      </c>
      <c r="M3" s="27" t="s">
        <v>31</v>
      </c>
      <c r="N3" s="27" t="s">
        <v>34</v>
      </c>
      <c r="O3" s="27" t="s">
        <v>36</v>
      </c>
      <c r="P3" s="27" t="s">
        <v>38</v>
      </c>
      <c r="Q3" s="27" t="s">
        <v>41</v>
      </c>
      <c r="R3" s="27" t="s">
        <v>44</v>
      </c>
      <c r="S3" s="27" t="s">
        <v>46</v>
      </c>
    </row>
    <row r="4" customFormat="false" ht="19.5" hidden="false" customHeight="true" outlineLevel="0" collapsed="false">
      <c r="A4" s="0" t="n">
        <v>1</v>
      </c>
      <c r="B4" s="8" t="str">
        <f aca="false">'January 2026'!B6</f>
        <v>Patience Tsikudo</v>
      </c>
      <c r="C4" s="9" t="n">
        <v>33</v>
      </c>
      <c r="D4" s="9" t="n">
        <v>3</v>
      </c>
      <c r="E4" s="9" t="n">
        <f aca="false">SUM(C4:D4)</f>
        <v>36</v>
      </c>
      <c r="G4" s="9" t="n">
        <f aca="false">SUM('January 2026'!AH6,'February 2026'!AE6,'March 2026'!AH6,'April 2026'!AG6,'May 2026'!AH6,'June 2026'!AG6,'July 2026'!AH6,'August 2026'!AH6,'September 2026'!AG6,'October 2026'!AH6,'November 2026'!AG6,'December 2026'!AH6)</f>
        <v>18</v>
      </c>
      <c r="H4" s="9" t="n">
        <f aca="false">E4-G4</f>
        <v>18</v>
      </c>
      <c r="J4" s="9" t="n">
        <v>12</v>
      </c>
      <c r="K4" s="9" t="n">
        <f aca="false">SUM(COUNTIF('January 2026'!C6:AG6,"H1"),COUNTIF('February 2026'!C6:AD6,"H1"),COUNTIF('March 2026'!C6:AG6,"H1"),COUNTIF('April 2026'!C6:AF6,"H1"),COUNTIF('May 2026'!C6:AG6,"H1"),COUNTIF('June 2026'!C6:AF6,"H1"),COUNTIF('July 2026'!C6:AG6,"H1"),COUNTIF('August 2026'!C6:AG6,"H1"),COUNTIF('September 2026'!C6:AF6,"H1"),COUNTIF('October 2026'!C6:AG6,"H1"),COUNTIF('November 2026'!C6:AF6,"H1"),COUNTIF('December 2026'!C6:AG6,"H1"))</f>
        <v>0</v>
      </c>
      <c r="L4" s="9" t="n">
        <f aca="false">SUM(COUNTIF('January 2026'!C6:AG6,"H2"),COUNTIF('February 2026'!C6:AD6,"H2"),COUNTIF('March 2026'!C6:AG6,"H2"),COUNTIF('April 2026'!C6:AF6,"H2"),COUNTIF('May 2026'!C6:AG6,"H2"),COUNTIF('June 2026'!C6:AF6,"H2"),COUNTIF('July 2026'!C6:AG6,"H2"),COUNTIF('August 2026'!C6:AG6,"H2"),COUNTIF('September 2026'!C6:AF6,"H2"),COUNTIF('October 2026'!C6:AG6,"H2"),COUNTIF('November 2026'!C6:AF6,"H2"),COUNTIF('December 2026'!C6:AG6,"H2"))</f>
        <v>0</v>
      </c>
      <c r="M4" s="9" t="n">
        <f aca="false">SUM(COUNTIF('January 2026'!C6:AG6,"Q"),COUNTIF('February 2026'!C6:AD6,"Q"),COUNTIF('March 2026'!C6:AG6,"Q"),COUNTIF('April 2026'!C6:AF6,"Q"),COUNTIF('May 2026'!C6:AG6,"Q"),COUNTIF('June 2026'!C6:AF6,"Q"),COUNTIF('July 2026'!C6:AG6,"Q"),COUNTIF('August 2026'!C6:AG6,"Q"),COUNTIF('September 2026'!C6:AF6,"Q"),COUNTIF('October 2026'!C6:AG6,"Q"),COUNTIF('November 2026'!C6:AF6,"Q"),COUNTIF('December 2026'!C6:AG6,"Q"))</f>
        <v>0</v>
      </c>
      <c r="N4" s="9" t="n">
        <f aca="false">SUM(COUNTIF('January 2026'!C6:AG6,"I"),COUNTIF('February 2026'!C6:AD6,"I"),COUNTIF('March 2026'!C6:AG6,"I"),COUNTIF('April 2026'!C6:AF6,"I"),COUNTIF('May 2026'!C6:AG6,"I"),COUNTIF('June 2026'!C6:AF6,"I"),COUNTIF('July 2026'!C6:AG6,"I"),COUNTIF('August 2026'!C6:AG6,"I"),COUNTIF('September 2026'!C6:AF6,"I"),COUNTIF('October 2026'!C6:AG6,"I"),COUNTIF('November 2026'!C6:AF6,"I"),COUNTIF('December 2026'!C6:AG6,"I"))</f>
        <v>0</v>
      </c>
      <c r="O4" s="9" t="n">
        <f aca="false">SUM(COUNTIF('January 2026'!C6:AG6,"S"),COUNTIF('February 2026'!C6:AD6,"S"),COUNTIF('March 2026'!C6:AG6,"S"),COUNTIF('April 2026'!C6:AF6,"S"),COUNTIF('May 2026'!C6:AG6,"S"),COUNTIF('June 2026'!C6:AF6,"S"),COUNTIF('July 2026'!C6:AG6,"S"),COUNTIF('August 2026'!C6:AG6,"S"),COUNTIF('September 2026'!C6:AF6,"S"),COUNTIF('October 2026'!C6:AG6,"S"),COUNTIF('November 2026'!C6:AF6,"S"),COUNTIF('December 2026'!C6:AG6,"S"))</f>
        <v>1</v>
      </c>
      <c r="P4" s="9" t="n">
        <f aca="false">SUM(COUNTIF('January 2026'!C6:AG6,"M"),COUNTIF('February 2026'!C6:AD6,"M"),COUNTIF('March 2026'!C6:AG6,"M"),COUNTIF('April 2026'!C6:AF6,"M"),COUNTIF('May 2026'!C6:AG6,"M"),COUNTIF('June 2026'!C6:AF6,"M"),COUNTIF('July 2026'!C6:AG6,"M"),COUNTIF('August 2026'!C6:AG6,"M"),COUNTIF('September 2026'!C6:AF6,"M"),COUNTIF('October 2026'!C6:AG6,"M"),COUNTIF('November 2026'!C6:AF6,"M"),COUNTIF('December 2026'!C6:AG6,"M"))</f>
        <v>3</v>
      </c>
      <c r="Q4" s="9" t="n">
        <f aca="false">SUM(COUNTIF('January 2026'!C6:AG6,"C"),COUNTIF('February 2026'!C6:AD6,"C"),COUNTIF('March 2026'!C6:AG6,"C"),COUNTIF('April 2026'!C6:AF6,"C"),COUNTIF('May 2026'!C6:AG6,"C"),COUNTIF('June 2026'!C6:AF6,"C"),COUNTIF('July 2026'!C6:AG6,"C"),COUNTIF('August 2026'!C6:AG6,"C"),COUNTIF('September 2026'!C6:AF6,"C"),COUNTIF('October 2026'!C6:AG6,"C"),COUNTIF('November 2026'!C6:AF6,"C"),COUNTIF('December 2026'!C6:AG6,"C"))</f>
        <v>0</v>
      </c>
      <c r="R4" s="9" t="n">
        <f aca="false">SUM(COUNTIF('January 2026'!C6:AG6,"V"),COUNTIF('February 2026'!C6:AD6,"V"),COUNTIF('March 2026'!C6:AG6,"V"),COUNTIF('April 2026'!C6:AF6,"V"),COUNTIF('May 2026'!C6:AG6,"V"),COUNTIF('June 2026'!C6:AF6,"V"),COUNTIF('July 2026'!C6:AG6,"V"),COUNTIF('August 2026'!C6:AG6,"V"),COUNTIF('September 2026'!C6:AF6,"V"),COUNTIF('October 2026'!C6:AG6,"V"),COUNTIF('November 2026'!C6:AF6,"V"),COUNTIF('December 2026'!C6:AG6,"V"))</f>
        <v>2</v>
      </c>
      <c r="S4" s="9" t="n">
        <f aca="false">SUM(COUNTIF('January 2026'!C6:AG6,"A"),COUNTIF('February 2026'!C6:AD6,"A"),COUNTIF('March 2026'!C6:AG6,"A"),COUNTIF('April 2026'!C6:AF6,"A"),COUNTIF('May 2026'!C6:AG6,"A"),COUNTIF('June 2026'!C6:AF6,"A"),COUNTIF('July 2026'!C6:AG6,"A"),COUNTIF('August 2026'!C6:AG6,"A"),COUNTIF('September 2026'!C6:AF6,"A"),COUNTIF('October 2026'!C6:AG6,"A"),COUNTIF('November 2026'!C6:AF6,"A"),COUNTIF('December 2026'!C6:AG6,"A"))</f>
        <v>0</v>
      </c>
    </row>
    <row r="5" customFormat="false" ht="19.5" hidden="false" customHeight="true" outlineLevel="0" collapsed="false">
      <c r="A5" s="0" t="n">
        <v>6</v>
      </c>
      <c r="B5" s="8" t="str">
        <f aca="false">'January 2026'!B7</f>
        <v>Emmanuel Tetteh</v>
      </c>
      <c r="C5" s="9" t="n">
        <v>33</v>
      </c>
      <c r="D5" s="9" t="n">
        <v>1</v>
      </c>
      <c r="E5" s="9" t="n">
        <f aca="false">SUM(C5:D5)</f>
        <v>34</v>
      </c>
      <c r="G5" s="9" t="n">
        <f aca="false">SUM('January 2026'!AH7,'February 2026'!AE7,'March 2026'!AH7,'April 2026'!AG7,'May 2026'!AH7,'June 2026'!AG7,'July 2026'!AH7,'August 2026'!AH7,'September 2026'!AG7,'October 2026'!AH7,'November 2026'!AG7,'December 2026'!AH7)</f>
        <v>28.5</v>
      </c>
      <c r="H5" s="9" t="n">
        <f aca="false">E5-G5</f>
        <v>5.5</v>
      </c>
      <c r="J5" s="9" t="n">
        <v>12</v>
      </c>
      <c r="K5" s="9" t="n">
        <f aca="false">SUM(COUNTIF('January 2026'!C7:AG7,"H1"),COUNTIF('February 2026'!C7:AD7,"H1"),COUNTIF('March 2026'!C7:AG7,"H1"),COUNTIF('April 2026'!C7:AF7,"H1"),COUNTIF('May 2026'!C7:AG7,"H1"),COUNTIF('June 2026'!C7:AF7,"H1"),COUNTIF('July 2026'!C7:AG7,"H1"),COUNTIF('August 2026'!C7:AG7,"H1"),COUNTIF('September 2026'!C7:AF7,"H1"),COUNTIF('October 2026'!C7:AG7,"H1"),COUNTIF('November 2026'!C7:AF7,"H1"),COUNTIF('December 2026'!C7:AG7,"H1"))</f>
        <v>0</v>
      </c>
      <c r="L5" s="9" t="n">
        <f aca="false">SUM(COUNTIF('January 2026'!C7:AG7,"H2"),COUNTIF('February 2026'!C7:AD7,"H2"),COUNTIF('March 2026'!C7:AG7,"H2"),COUNTIF('April 2026'!C7:AF7,"H2"),COUNTIF('May 2026'!C7:AG7,"H2"),COUNTIF('June 2026'!C7:AF7,"H2"),COUNTIF('July 2026'!C7:AG7,"H2"),COUNTIF('August 2026'!C7:AG7,"H2"),COUNTIF('September 2026'!C7:AF7,"H2"),COUNTIF('October 2026'!C7:AG7,"H2"),COUNTIF('November 2026'!C7:AF7,"H2"),COUNTIF('December 2026'!C7:AG7,"H2"))</f>
        <v>1</v>
      </c>
      <c r="M5" s="9" t="n">
        <f aca="false">SUM(COUNTIF('January 2026'!C7:AG7,"Q"),COUNTIF('February 2026'!C7:AD7,"Q"),COUNTIF('March 2026'!C7:AG7,"Q"),COUNTIF('April 2026'!C7:AF7,"Q"),COUNTIF('May 2026'!C7:AG7,"Q"),COUNTIF('June 2026'!C7:AF7,"Q"),COUNTIF('July 2026'!C7:AG7,"Q"),COUNTIF('August 2026'!C7:AG7,"Q"),COUNTIF('September 2026'!C7:AF7,"Q"),COUNTIF('October 2026'!C7:AG7,"Q"),COUNTIF('November 2026'!C7:AF7,"Q"),COUNTIF('December 2026'!C7:AG7,"Q"))</f>
        <v>0</v>
      </c>
      <c r="N5" s="9" t="n">
        <f aca="false">SUM(COUNTIF('January 2026'!C7:AG7,"I"),COUNTIF('February 2026'!C7:AD7,"I"),COUNTIF('March 2026'!C7:AG7,"I"),COUNTIF('April 2026'!C7:AF7,"I"),COUNTIF('May 2026'!C7:AG7,"I"),COUNTIF('June 2026'!C7:AF7,"I"),COUNTIF('July 2026'!C7:AG7,"I"),COUNTIF('August 2026'!C7:AG7,"I"),COUNTIF('September 2026'!C7:AF7,"I"),COUNTIF('October 2026'!C7:AG7,"I"),COUNTIF('November 2026'!C7:AF7,"I"),COUNTIF('December 2026'!C7:AG7,"I"))</f>
        <v>1</v>
      </c>
      <c r="O5" s="9" t="n">
        <f aca="false">SUM(COUNTIF('January 2026'!C7:AG7,"S"),COUNTIF('February 2026'!C7:AD7,"S"),COUNTIF('March 2026'!C7:AG7,"S"),COUNTIF('April 2026'!C7:AF7,"S"),COUNTIF('May 2026'!C7:AG7,"S"),COUNTIF('June 2026'!C7:AF7,"S"),COUNTIF('July 2026'!C7:AG7,"S"),COUNTIF('August 2026'!C7:AG7,"S"),COUNTIF('September 2026'!C7:AF7,"S"),COUNTIF('October 2026'!C7:AG7,"S"),COUNTIF('November 2026'!C7:AF7,"S"),COUNTIF('December 2026'!C7:AG7,"S"))</f>
        <v>7</v>
      </c>
      <c r="P5" s="9" t="n">
        <f aca="false">SUM(COUNTIF('January 2026'!C7:AG7,"M"),COUNTIF('February 2026'!C7:AD7,"M"),COUNTIF('March 2026'!C7:AG7,"M"),COUNTIF('April 2026'!C7:AF7,"M"),COUNTIF('May 2026'!C7:AG7,"M"),COUNTIF('June 2026'!C7:AF7,"M"),COUNTIF('July 2026'!C7:AG7,"M"),COUNTIF('August 2026'!C7:AG7,"M"),COUNTIF('September 2026'!C7:AF7,"M"),COUNTIF('October 2026'!C7:AG7,"M"),COUNTIF('November 2026'!C7:AF7,"M"),COUNTIF('December 2026'!C7:AG7,"M"))</f>
        <v>2</v>
      </c>
      <c r="Q5" s="9" t="n">
        <f aca="false">SUM(COUNTIF('January 2026'!C7:AG7,"C"),COUNTIF('February 2026'!C7:AD7,"C"),COUNTIF('March 2026'!C7:AG7,"C"),COUNTIF('April 2026'!C7:AF7,"C"),COUNTIF('May 2026'!C7:AG7,"C"),COUNTIF('June 2026'!C7:AF7,"C"),COUNTIF('July 2026'!C7:AG7,"C"),COUNTIF('August 2026'!C7:AG7,"C"),COUNTIF('September 2026'!C7:AF7,"C"),COUNTIF('October 2026'!C7:AG7,"C"),COUNTIF('November 2026'!C7:AF7,"C"),COUNTIF('December 2026'!C7:AG7,"C"))</f>
        <v>0</v>
      </c>
      <c r="R5" s="9" t="n">
        <f aca="false">SUM(COUNTIF('January 2026'!C7:AG7,"V"),COUNTIF('February 2026'!C7:AD7,"V"),COUNTIF('March 2026'!C7:AG7,"V"),COUNTIF('April 2026'!C7:AF7,"V"),COUNTIF('May 2026'!C7:AG7,"V"),COUNTIF('June 2026'!C7:AF7,"V"),COUNTIF('July 2026'!C7:AG7,"V"),COUNTIF('August 2026'!C7:AG7,"V"),COUNTIF('September 2026'!C7:AF7,"V"),COUNTIF('October 2026'!C7:AG7,"V"),COUNTIF('November 2026'!C7:AF7,"V"),COUNTIF('December 2026'!C7:AG7,"V"))</f>
        <v>12</v>
      </c>
      <c r="S5" s="9" t="n">
        <f aca="false">SUM(COUNTIF('January 2026'!C7:AG7,"A"),COUNTIF('February 2026'!C7:AD7,"A"),COUNTIF('March 2026'!C7:AG7,"A"),COUNTIF('April 2026'!C7:AF7,"A"),COUNTIF('May 2026'!C7:AG7,"A"),COUNTIF('June 2026'!C7:AF7,"A"),COUNTIF('July 2026'!C7:AG7,"A"),COUNTIF('August 2026'!C7:AG7,"A"),COUNTIF('September 2026'!C7:AF7,"A"),COUNTIF('October 2026'!C7:AG7,"A"),COUNTIF('November 2026'!C7:AF7,"A"),COUNTIF('December 2026'!C7:AG7,"A"))</f>
        <v>0</v>
      </c>
    </row>
    <row r="6" customFormat="false" ht="19.5" hidden="false" customHeight="true" outlineLevel="0" collapsed="false">
      <c r="A6" s="0" t="n">
        <v>7</v>
      </c>
      <c r="B6" s="8" t="str">
        <f aca="false">'January 2026'!B8</f>
        <v>Solomon Sefah</v>
      </c>
      <c r="C6" s="9" t="n">
        <v>33</v>
      </c>
      <c r="D6" s="9" t="n">
        <v>5</v>
      </c>
      <c r="E6" s="9" t="n">
        <f aca="false">SUM(C6:D6)</f>
        <v>38</v>
      </c>
      <c r="G6" s="9" t="n">
        <f aca="false">SUM('January 2026'!AH8,'February 2026'!AE8,'March 2026'!AH8,'April 2026'!AG8,'May 2026'!AH8,'June 2026'!AG8,'July 2026'!AH8,'August 2026'!AH8,'September 2026'!AG8,'October 2026'!AH8,'November 2026'!AG8,'December 2026'!AH8)</f>
        <v>17</v>
      </c>
      <c r="H6" s="9" t="n">
        <f aca="false">E6-G6</f>
        <v>21</v>
      </c>
      <c r="J6" s="9" t="n">
        <v>12</v>
      </c>
      <c r="K6" s="9" t="n">
        <f aca="false">SUM(COUNTIF('January 2026'!C8:AG8,"H1"),COUNTIF('February 2026'!C8:AD8,"H1"),COUNTIF('March 2026'!C8:AG8,"H1"),COUNTIF('April 2026'!C8:AF8,"H1"),COUNTIF('May 2026'!C8:AG8,"H1"),COUNTIF('June 2026'!C8:AF8,"H1"),COUNTIF('July 2026'!C8:AG8,"H1"),COUNTIF('August 2026'!C8:AG8,"H1"),COUNTIF('September 2026'!C8:AF8,"H1"),COUNTIF('October 2026'!C8:AG8,"H1"),COUNTIF('November 2026'!C8:AF8,"H1"),COUNTIF('December 2026'!C8:AG8,"H1"))</f>
        <v>0</v>
      </c>
      <c r="L6" s="9" t="n">
        <f aca="false">SUM(COUNTIF('January 2026'!C8:AG8,"H2"),COUNTIF('February 2026'!C8:AD8,"H2"),COUNTIF('March 2026'!C8:AG8,"H2"),COUNTIF('April 2026'!C8:AF8,"H2"),COUNTIF('May 2026'!C8:AG8,"H2"),COUNTIF('June 2026'!C8:AF8,"H2"),COUNTIF('July 2026'!C8:AG8,"H2"),COUNTIF('August 2026'!C8:AG8,"H2"),COUNTIF('September 2026'!C8:AF8,"H2"),COUNTIF('October 2026'!C8:AG8,"H2"),COUNTIF('November 2026'!C8:AF8,"H2"),COUNTIF('December 2026'!C8:AG8,"H2"))</f>
        <v>0</v>
      </c>
      <c r="M6" s="9" t="n">
        <f aca="false">SUM(COUNTIF('January 2026'!C8:AG8,"Q"),COUNTIF('February 2026'!C8:AD8,"Q"),COUNTIF('March 2026'!C8:AG8,"Q"),COUNTIF('April 2026'!C8:AF8,"Q"),COUNTIF('May 2026'!C8:AG8,"Q"),COUNTIF('June 2026'!C8:AF8,"Q"),COUNTIF('July 2026'!C8:AG8,"Q"),COUNTIF('August 2026'!C8:AG8,"Q"),COUNTIF('September 2026'!C8:AF8,"Q"),COUNTIF('October 2026'!C8:AG8,"Q"),COUNTIF('November 2026'!C8:AF8,"Q"),COUNTIF('December 2026'!C8:AG8,"Q"))</f>
        <v>0</v>
      </c>
      <c r="N6" s="9" t="n">
        <f aca="false">SUM(COUNTIF('January 2026'!C8:AG8,"I"),COUNTIF('February 2026'!C8:AD8,"I"),COUNTIF('March 2026'!C8:AG8,"I"),COUNTIF('April 2026'!C8:AF8,"I"),COUNTIF('May 2026'!C8:AG8,"I"),COUNTIF('June 2026'!C8:AF8,"I"),COUNTIF('July 2026'!C8:AG8,"I"),COUNTIF('August 2026'!C8:AG8,"I"),COUNTIF('September 2026'!C8:AF8,"I"),COUNTIF('October 2026'!C8:AG8,"I"),COUNTIF('November 2026'!C8:AF8,"I"),COUNTIF('December 2026'!C8:AG8,"I"))</f>
        <v>0</v>
      </c>
      <c r="O6" s="9" t="n">
        <f aca="false">SUM(COUNTIF('January 2026'!C8:AG8,"S"),COUNTIF('February 2026'!C8:AD8,"S"),COUNTIF('March 2026'!C8:AG8,"S"),COUNTIF('April 2026'!C8:AF8,"S"),COUNTIF('May 2026'!C8:AG8,"S"),COUNTIF('June 2026'!C8:AF8,"S"),COUNTIF('July 2026'!C8:AG8,"S"),COUNTIF('August 2026'!C8:AG8,"S"),COUNTIF('September 2026'!C8:AF8,"S"),COUNTIF('October 2026'!C8:AG8,"S"),COUNTIF('November 2026'!C8:AF8,"S"),COUNTIF('December 2026'!C8:AG8,"S"))</f>
        <v>8</v>
      </c>
      <c r="P6" s="9" t="n">
        <f aca="false">SUM(COUNTIF('January 2026'!C8:AG8,"M"),COUNTIF('February 2026'!C8:AD8,"M"),COUNTIF('March 2026'!C8:AG8,"M"),COUNTIF('April 2026'!C8:AF8,"M"),COUNTIF('May 2026'!C8:AG8,"M"),COUNTIF('June 2026'!C8:AF8,"M"),COUNTIF('July 2026'!C8:AG8,"M"),COUNTIF('August 2026'!C8:AG8,"M"),COUNTIF('September 2026'!C8:AF8,"M"),COUNTIF('October 2026'!C8:AG8,"M"),COUNTIF('November 2026'!C8:AF8,"M"),COUNTIF('December 2026'!C8:AG8,"M"))</f>
        <v>1</v>
      </c>
      <c r="Q6" s="9" t="n">
        <f aca="false">SUM(COUNTIF('January 2026'!C8:AG8,"C"),COUNTIF('February 2026'!C8:AD8,"C"),COUNTIF('March 2026'!C8:AG8,"C"),COUNTIF('April 2026'!C8:AF8,"C"),COUNTIF('May 2026'!C8:AG8,"C"),COUNTIF('June 2026'!C8:AF8,"C"),COUNTIF('July 2026'!C8:AG8,"C"),COUNTIF('August 2026'!C8:AG8,"C"),COUNTIF('September 2026'!C8:AF8,"C"),COUNTIF('October 2026'!C8:AG8,"C"),COUNTIF('November 2026'!C8:AF8,"C"),COUNTIF('December 2026'!C8:AG8,"C"))</f>
        <v>6</v>
      </c>
      <c r="R6" s="9" t="n">
        <f aca="false">SUM(COUNTIF('January 2026'!C8:AG8,"V"),COUNTIF('February 2026'!C8:AD8,"V"),COUNTIF('March 2026'!C8:AG8,"V"),COUNTIF('April 2026'!C8:AF8,"V"),COUNTIF('May 2026'!C8:AG8,"V"),COUNTIF('June 2026'!C8:AF8,"V"),COUNTIF('July 2026'!C8:AG8,"V"),COUNTIF('August 2026'!C8:AG8,"V"),COUNTIF('September 2026'!C8:AF8,"V"),COUNTIF('October 2026'!C8:AG8,"V"),COUNTIF('November 2026'!C8:AF8,"V"),COUNTIF('December 2026'!C8:AG8,"V"))</f>
        <v>3</v>
      </c>
      <c r="S6" s="9" t="n">
        <f aca="false">SUM(COUNTIF('January 2026'!C8:AG8,"A"),COUNTIF('February 2026'!C8:AD8,"A"),COUNTIF('March 2026'!C8:AG8,"A"),COUNTIF('April 2026'!C8:AF8,"A"),COUNTIF('May 2026'!C8:AG8,"A"),COUNTIF('June 2026'!C8:AF8,"A"),COUNTIF('July 2026'!C8:AG8,"A"),COUNTIF('August 2026'!C8:AG8,"A"),COUNTIF('September 2026'!C8:AF8,"A"),COUNTIF('October 2026'!C8:AG8,"A"),COUNTIF('November 2026'!C8:AF8,"A"),COUNTIF('December 2026'!C8:AG8,"A"))</f>
        <v>0</v>
      </c>
    </row>
    <row r="7" customFormat="false" ht="19.5" hidden="false" customHeight="true" outlineLevel="0" collapsed="false">
      <c r="A7" s="0" t="n">
        <v>8</v>
      </c>
      <c r="B7" s="8" t="str">
        <f aca="false">'January 2026'!B9</f>
        <v>Maame Lankar De Veer</v>
      </c>
      <c r="C7" s="9" t="n">
        <v>33</v>
      </c>
      <c r="D7" s="9" t="n">
        <v>3</v>
      </c>
      <c r="E7" s="9" t="n">
        <f aca="false">SUM(C7:D7)</f>
        <v>36</v>
      </c>
      <c r="G7" s="9" t="n">
        <f aca="false">SUM('January 2026'!AH9,'February 2026'!AE9,'March 2026'!AH9,'April 2026'!AG9,'May 2026'!AH9,'June 2026'!AG9,'July 2026'!AH9,'August 2026'!AH9,'September 2026'!AG9,'October 2026'!AH9,'November 2026'!AG9,'December 2026'!AH9)</f>
        <v>22.5</v>
      </c>
      <c r="H7" s="9" t="n">
        <f aca="false">E7-G7</f>
        <v>13.5</v>
      </c>
      <c r="J7" s="9" t="n">
        <v>12</v>
      </c>
      <c r="K7" s="9" t="n">
        <f aca="false">SUM(COUNTIF('January 2026'!C9:AG9,"H1"),COUNTIF('February 2026'!C9:AD9,"H1"),COUNTIF('March 2026'!C9:AG9,"H1"),COUNTIF('April 2026'!C9:AF9,"H1"),COUNTIF('May 2026'!C9:AG9,"H1"),COUNTIF('June 2026'!C9:AF9,"H1"),COUNTIF('July 2026'!C9:AG9,"H1"),COUNTIF('August 2026'!C9:AG9,"H1"),COUNTIF('September 2026'!C9:AF9,"H1"),COUNTIF('October 2026'!C9:AG9,"H1"),COUNTIF('November 2026'!C9:AF9,"H1"),COUNTIF('December 2026'!C9:AG9,"H1"))</f>
        <v>1</v>
      </c>
      <c r="L7" s="9" t="n">
        <f aca="false">SUM(COUNTIF('January 2026'!C9:AG9,"H2"),COUNTIF('February 2026'!C9:AD9,"H2"),COUNTIF('March 2026'!C9:AG9,"H2"),COUNTIF('April 2026'!C9:AF9,"H2"),COUNTIF('May 2026'!C9:AG9,"H2"),COUNTIF('June 2026'!C9:AF9,"H2"),COUNTIF('July 2026'!C9:AG9,"H2"),COUNTIF('August 2026'!C9:AG9,"H2"),COUNTIF('September 2026'!C9:AF9,"H2"),COUNTIF('October 2026'!C9:AG9,"H2"),COUNTIF('November 2026'!C9:AF9,"H2"),COUNTIF('December 2026'!C9:AG9,"H2"))</f>
        <v>0</v>
      </c>
      <c r="M7" s="9" t="n">
        <f aca="false">SUM(COUNTIF('January 2026'!C9:AG9,"Q"),COUNTIF('February 2026'!C9:AD9,"Q"),COUNTIF('March 2026'!C9:AG9,"Q"),COUNTIF('April 2026'!C9:AF9,"Q"),COUNTIF('May 2026'!C9:AG9,"Q"),COUNTIF('June 2026'!C9:AF9,"Q"),COUNTIF('July 2026'!C9:AG9,"Q"),COUNTIF('August 2026'!C9:AG9,"Q"),COUNTIF('September 2026'!C9:AF9,"Q"),COUNTIF('October 2026'!C9:AG9,"Q"),COUNTIF('November 2026'!C9:AF9,"Q"),COUNTIF('December 2026'!C9:AG9,"Q"))</f>
        <v>0</v>
      </c>
      <c r="N7" s="9" t="n">
        <f aca="false">SUM(COUNTIF('January 2026'!C9:AG9,"I"),COUNTIF('February 2026'!C9:AD9,"I"),COUNTIF('March 2026'!C9:AG9,"I"),COUNTIF('April 2026'!C9:AF9,"I"),COUNTIF('May 2026'!C9:AG9,"I"),COUNTIF('June 2026'!C9:AF9,"I"),COUNTIF('July 2026'!C9:AG9,"I"),COUNTIF('August 2026'!C9:AG9,"I"),COUNTIF('September 2026'!C9:AF9,"I"),COUNTIF('October 2026'!C9:AG9,"I"),COUNTIF('November 2026'!C9:AF9,"I"),COUNTIF('December 2026'!C9:AG9,"I"))</f>
        <v>0</v>
      </c>
      <c r="O7" s="9" t="n">
        <f aca="false">SUM(COUNTIF('January 2026'!C9:AG9,"S"),COUNTIF('February 2026'!C9:AD9,"S"),COUNTIF('March 2026'!C9:AG9,"S"),COUNTIF('April 2026'!C9:AF9,"S"),COUNTIF('May 2026'!C9:AG9,"S"),COUNTIF('June 2026'!C9:AF9,"S"),COUNTIF('July 2026'!C9:AG9,"S"),COUNTIF('August 2026'!C9:AG9,"S"),COUNTIF('September 2026'!C9:AF9,"S"),COUNTIF('October 2026'!C9:AG9,"S"),COUNTIF('November 2026'!C9:AF9,"S"),COUNTIF('December 2026'!C9:AG9,"S"))</f>
        <v>5</v>
      </c>
      <c r="P7" s="9" t="n">
        <f aca="false">SUM(COUNTIF('January 2026'!C9:AG9,"M"),COUNTIF('February 2026'!C9:AD9,"M"),COUNTIF('March 2026'!C9:AG9,"M"),COUNTIF('April 2026'!C9:AF9,"M"),COUNTIF('May 2026'!C9:AG9,"M"),COUNTIF('June 2026'!C9:AF9,"M"),COUNTIF('July 2026'!C9:AG9,"M"),COUNTIF('August 2026'!C9:AG9,"M"),COUNTIF('September 2026'!C9:AF9,"M"),COUNTIF('October 2026'!C9:AG9,"M"),COUNTIF('November 2026'!C9:AF9,"M"),COUNTIF('December 2026'!C9:AG9,"M"))</f>
        <v>0</v>
      </c>
      <c r="Q7" s="9" t="n">
        <f aca="false">SUM(COUNTIF('January 2026'!C9:AG9,"C"),COUNTIF('February 2026'!C9:AD9,"C"),COUNTIF('March 2026'!C9:AG9,"C"),COUNTIF('April 2026'!C9:AF9,"C"),COUNTIF('May 2026'!C9:AG9,"C"),COUNTIF('June 2026'!C9:AF9,"C"),COUNTIF('July 2026'!C9:AG9,"C"),COUNTIF('August 2026'!C9:AG9,"C"),COUNTIF('September 2026'!C9:AF9,"C"),COUNTIF('October 2026'!C9:AG9,"C"),COUNTIF('November 2026'!C9:AF9,"C"),COUNTIF('December 2026'!C9:AG9,"C"))</f>
        <v>1</v>
      </c>
      <c r="R7" s="9" t="n">
        <f aca="false">SUM(COUNTIF('January 2026'!C9:AG9,"V"),COUNTIF('February 2026'!C9:AD9,"V"),COUNTIF('March 2026'!C9:AG9,"V"),COUNTIF('April 2026'!C9:AF9,"V"),COUNTIF('May 2026'!C9:AG9,"V"),COUNTIF('June 2026'!C9:AF9,"V"),COUNTIF('July 2026'!C9:AG9,"V"),COUNTIF('August 2026'!C9:AG9,"V"),COUNTIF('September 2026'!C9:AF9,"V"),COUNTIF('October 2026'!C9:AG9,"V"),COUNTIF('November 2026'!C9:AF9,"V"),COUNTIF('December 2026'!C9:AG9,"V"))</f>
        <v>9</v>
      </c>
      <c r="S7" s="9" t="n">
        <f aca="false">SUM(COUNTIF('January 2026'!C9:AG9,"A"),COUNTIF('February 2026'!C9:AD9,"A"),COUNTIF('March 2026'!C9:AG9,"A"),COUNTIF('April 2026'!C9:AF9,"A"),COUNTIF('May 2026'!C9:AG9,"A"),COUNTIF('June 2026'!C9:AF9,"A"),COUNTIF('July 2026'!C9:AG9,"A"),COUNTIF('August 2026'!C9:AG9,"A"),COUNTIF('September 2026'!C9:AF9,"A"),COUNTIF('October 2026'!C9:AG9,"A"),COUNTIF('November 2026'!C9:AF9,"A"),COUNTIF('December 2026'!C9:AG9,"A"))</f>
        <v>0</v>
      </c>
    </row>
    <row r="8" customFormat="false" ht="19.5" hidden="false" customHeight="true" outlineLevel="0" collapsed="false">
      <c r="A8" s="0" t="n">
        <v>9</v>
      </c>
      <c r="B8" s="8" t="str">
        <f aca="false">'January 2026'!B10</f>
        <v>Joel Akwesi Opoku </v>
      </c>
      <c r="C8" s="9" t="n">
        <v>33</v>
      </c>
      <c r="D8" s="9"/>
      <c r="E8" s="9" t="n">
        <f aca="false">SUM(C8:D8)</f>
        <v>33</v>
      </c>
      <c r="G8" s="9" t="n">
        <f aca="false">SUM('January 2026'!AH10,'February 2026'!AE10,'March 2026'!AH10,'April 2026'!AG10,'May 2026'!AH10,'June 2026'!AG10,'July 2026'!AH10,'August 2026'!AH10,'September 2026'!AG10,'October 2026'!AH10,'November 2026'!AG10,'December 2026'!AH10)</f>
        <v>22</v>
      </c>
      <c r="H8" s="9" t="n">
        <f aca="false">E8-G8</f>
        <v>11</v>
      </c>
      <c r="J8" s="9" t="n">
        <v>12</v>
      </c>
      <c r="K8" s="9" t="n">
        <f aca="false">SUM(COUNTIF('January 2026'!C10:AG10,"H1"),COUNTIF('February 2026'!C10:AD10,"H1"),COUNTIF('March 2026'!C10:AG10,"H1"),COUNTIF('April 2026'!C10:AF10,"H1"),COUNTIF('May 2026'!C10:AG10,"H1"),COUNTIF('June 2026'!C10:AF10,"H1"),COUNTIF('July 2026'!C10:AG10,"H1"),COUNTIF('August 2026'!C10:AG10,"H1"),COUNTIF('September 2026'!C10:AF10,"H1"),COUNTIF('October 2026'!C10:AG10,"H1"),COUNTIF('November 2026'!C10:AF10,"H1"),COUNTIF('December 2026'!C10:AG10,"H1"))</f>
        <v>0</v>
      </c>
      <c r="L8" s="9" t="n">
        <f aca="false">SUM(COUNTIF('January 2026'!C10:AG10,"H2"),COUNTIF('February 2026'!C10:AD10,"H2"),COUNTIF('March 2026'!C10:AG10,"H2"),COUNTIF('April 2026'!C10:AF10,"H2"),COUNTIF('May 2026'!C10:AG10,"H2"),COUNTIF('June 2026'!C10:AF10,"H2"),COUNTIF('July 2026'!C10:AG10,"H2"),COUNTIF('August 2026'!C10:AG10,"H2"),COUNTIF('September 2026'!C10:AF10,"H2"),COUNTIF('October 2026'!C10:AG10,"H2"),COUNTIF('November 2026'!C10:AF10,"H2"),COUNTIF('December 2026'!C10:AG10,"H2"))</f>
        <v>0</v>
      </c>
      <c r="M8" s="9" t="n">
        <f aca="false">SUM(COUNTIF('January 2026'!C10:AG10,"Q"),COUNTIF('February 2026'!C10:AD10,"Q"),COUNTIF('March 2026'!C10:AG10,"Q"),COUNTIF('April 2026'!C10:AF10,"Q"),COUNTIF('May 2026'!C10:AG10,"Q"),COUNTIF('June 2026'!C10:AF10,"Q"),COUNTIF('July 2026'!C10:AG10,"Q"),COUNTIF('August 2026'!C10:AG10,"Q"),COUNTIF('September 2026'!C10:AF10,"Q"),COUNTIF('October 2026'!C10:AG10,"Q"),COUNTIF('November 2026'!C10:AF10,"Q"),COUNTIF('December 2026'!C10:AG10,"Q"))</f>
        <v>0</v>
      </c>
      <c r="N8" s="9" t="n">
        <f aca="false">SUM(COUNTIF('January 2026'!C10:AG10,"I"),COUNTIF('February 2026'!C10:AD10,"I"),COUNTIF('March 2026'!C10:AG10,"I"),COUNTIF('April 2026'!C10:AF10,"I"),COUNTIF('May 2026'!C10:AG10,"I"),COUNTIF('June 2026'!C10:AF10,"I"),COUNTIF('July 2026'!C10:AG10,"I"),COUNTIF('August 2026'!C10:AG10,"I"),COUNTIF('September 2026'!C10:AF10,"I"),COUNTIF('October 2026'!C10:AG10,"I"),COUNTIF('November 2026'!C10:AF10,"I"),COUNTIF('December 2026'!C10:AG10,"I"))</f>
        <v>0</v>
      </c>
      <c r="O8" s="9" t="n">
        <f aca="false">SUM(COUNTIF('January 2026'!C10:AG10,"S"),COUNTIF('February 2026'!C10:AD10,"S"),COUNTIF('March 2026'!C10:AG10,"S"),COUNTIF('April 2026'!C10:AF10,"S"),COUNTIF('May 2026'!C10:AG10,"S"),COUNTIF('June 2026'!C10:AF10,"S"),COUNTIF('July 2026'!C10:AG10,"S"),COUNTIF('August 2026'!C10:AG10,"S"),COUNTIF('September 2026'!C10:AF10,"S"),COUNTIF('October 2026'!C10:AG10,"S"),COUNTIF('November 2026'!C10:AF10,"S"),COUNTIF('December 2026'!C10:AG10,"S"))</f>
        <v>1</v>
      </c>
      <c r="P8" s="9" t="n">
        <f aca="false">SUM(COUNTIF('January 2026'!C10:AG10,"M"),COUNTIF('February 2026'!C10:AD10,"M"),COUNTIF('March 2026'!C10:AG10,"M"),COUNTIF('April 2026'!C10:AF10,"M"),COUNTIF('May 2026'!C10:AG10,"M"),COUNTIF('June 2026'!C10:AF10,"M"),COUNTIF('July 2026'!C10:AG10,"M"),COUNTIF('August 2026'!C10:AG10,"M"),COUNTIF('September 2026'!C10:AF10,"M"),COUNTIF('October 2026'!C10:AG10,"M"),COUNTIF('November 2026'!C10:AF10,"M"),COUNTIF('December 2026'!C10:AG10,"M"))</f>
        <v>0</v>
      </c>
      <c r="Q8" s="9" t="n">
        <f aca="false">SUM(COUNTIF('January 2026'!C10:AG10,"C"),COUNTIF('February 2026'!C10:AD10,"C"),COUNTIF('March 2026'!C10:AG10,"C"),COUNTIF('April 2026'!C10:AF10,"C"),COUNTIF('May 2026'!C10:AG10,"C"),COUNTIF('June 2026'!C10:AF10,"C"),COUNTIF('July 2026'!C10:AG10,"C"),COUNTIF('August 2026'!C10:AG10,"C"),COUNTIF('September 2026'!C10:AF10,"C"),COUNTIF('October 2026'!C10:AG10,"C"),COUNTIF('November 2026'!C10:AF10,"C"),COUNTIF('December 2026'!C10:AG10,"C"))</f>
        <v>0</v>
      </c>
      <c r="R8" s="9" t="n">
        <f aca="false">SUM(COUNTIF('January 2026'!C10:AG10,"V"),COUNTIF('February 2026'!C10:AD10,"V"),COUNTIF('March 2026'!C10:AG10,"V"),COUNTIF('April 2026'!C10:AF10,"V"),COUNTIF('May 2026'!C10:AG10,"V"),COUNTIF('June 2026'!C10:AF10,"V"),COUNTIF('July 2026'!C10:AG10,"V"),COUNTIF('August 2026'!C10:AG10,"V"),COUNTIF('September 2026'!C10:AF10,"V"),COUNTIF('October 2026'!C10:AG10,"V"),COUNTIF('November 2026'!C10:AF10,"V"),COUNTIF('December 2026'!C10:AG10,"V"))</f>
        <v>9</v>
      </c>
      <c r="S8" s="9" t="n">
        <f aca="false">SUM(COUNTIF('January 2026'!C10:AG10,"A"),COUNTIF('February 2026'!C10:AD10,"A"),COUNTIF('March 2026'!C10:AG10,"A"),COUNTIF('April 2026'!C10:AF10,"A"),COUNTIF('May 2026'!C10:AG10,"A"),COUNTIF('June 2026'!C10:AF10,"A"),COUNTIF('July 2026'!C10:AG10,"A"),COUNTIF('August 2026'!C10:AG10,"A"),COUNTIF('September 2026'!C10:AF10,"A"),COUNTIF('October 2026'!C10:AG10,"A"),COUNTIF('November 2026'!C10:AF10,"A"),COUNTIF('December 2026'!C10:AG10,"A"))</f>
        <v>0</v>
      </c>
    </row>
    <row r="9" customFormat="false" ht="19.5" hidden="false" customHeight="true" outlineLevel="0" collapsed="false">
      <c r="A9" s="0" t="n">
        <v>11</v>
      </c>
      <c r="B9" s="8" t="str">
        <f aca="false">'January 2026'!B11</f>
        <v>Samuel Napaa</v>
      </c>
      <c r="C9" s="9" t="n">
        <v>33</v>
      </c>
      <c r="D9" s="9" t="n">
        <v>1</v>
      </c>
      <c r="E9" s="9" t="n">
        <f aca="false">SUM(C9:D9)</f>
        <v>34</v>
      </c>
      <c r="G9" s="9" t="n">
        <f aca="false">SUM('January 2026'!AH11,'February 2026'!AE11,'March 2026'!AH11,'April 2026'!AG11,'May 2026'!AH11,'June 2026'!AG11,'July 2026'!AH11,'August 2026'!AH11,'September 2026'!AG11,'October 2026'!AH11,'November 2026'!AG11,'December 2026'!AH11)</f>
        <v>17</v>
      </c>
      <c r="H9" s="9" t="n">
        <f aca="false">E9-G9</f>
        <v>17</v>
      </c>
      <c r="J9" s="9" t="n">
        <v>12</v>
      </c>
      <c r="K9" s="9" t="n">
        <f aca="false">SUM(COUNTIF('January 2026'!C11:AG11,"H1"),COUNTIF('February 2026'!C11:AD11,"H1"),COUNTIF('March 2026'!C11:AG11,"H1"),COUNTIF('April 2026'!C11:AF11,"H1"),COUNTIF('May 2026'!C11:AG11,"H1"),COUNTIF('June 2026'!C11:AF11,"H1"),COUNTIF('July 2026'!C11:AG11,"H1"),COUNTIF('August 2026'!C11:AG11,"H1"),COUNTIF('September 2026'!C11:AF11,"H1"),COUNTIF('October 2026'!C11:AG11,"H1"),COUNTIF('November 2026'!C11:AF11,"H1"),COUNTIF('December 2026'!C11:AG11,"H1"))</f>
        <v>1</v>
      </c>
      <c r="L9" s="9" t="n">
        <f aca="false">SUM(COUNTIF('January 2026'!C11:AG11,"H2"),COUNTIF('February 2026'!C11:AD11,"H2"),COUNTIF('March 2026'!C11:AG11,"H2"),COUNTIF('April 2026'!C11:AF11,"H2"),COUNTIF('May 2026'!C11:AG11,"H2"),COUNTIF('June 2026'!C11:AF11,"H2"),COUNTIF('July 2026'!C11:AG11,"H2"),COUNTIF('August 2026'!C11:AG11,"H2"),COUNTIF('September 2026'!C11:AF11,"H2"),COUNTIF('October 2026'!C11:AG11,"H2"),COUNTIF('November 2026'!C11:AF11,"H2"),COUNTIF('December 2026'!C11:AG11,"H2"))</f>
        <v>1</v>
      </c>
      <c r="M9" s="9" t="n">
        <f aca="false">SUM(COUNTIF('January 2026'!C11:AG11,"Q"),COUNTIF('February 2026'!C11:AD11,"Q"),COUNTIF('March 2026'!C11:AG11,"Q"),COUNTIF('April 2026'!C11:AF11,"Q"),COUNTIF('May 2026'!C11:AG11,"Q"),COUNTIF('June 2026'!C11:AF11,"Q"),COUNTIF('July 2026'!C11:AG11,"Q"),COUNTIF('August 2026'!C11:AG11,"Q"),COUNTIF('September 2026'!C11:AF11,"Q"),COUNTIF('October 2026'!C11:AG11,"Q"),COUNTIF('November 2026'!C11:AF11,"Q"),COUNTIF('December 2026'!C11:AG11,"Q"))</f>
        <v>0</v>
      </c>
      <c r="N9" s="9" t="n">
        <f aca="false">SUM(COUNTIF('January 2026'!C11:AG11,"I"),COUNTIF('February 2026'!C11:AD11,"I"),COUNTIF('March 2026'!C11:AG11,"I"),COUNTIF('April 2026'!C11:AF11,"I"),COUNTIF('May 2026'!C11:AG11,"I"),COUNTIF('June 2026'!C11:AF11,"I"),COUNTIF('July 2026'!C11:AG11,"I"),COUNTIF('August 2026'!C11:AG11,"I"),COUNTIF('September 2026'!C11:AF11,"I"),COUNTIF('October 2026'!C11:AG11,"I"),COUNTIF('November 2026'!C11:AF11,"I"),COUNTIF('December 2026'!C11:AG11,"I"))</f>
        <v>0</v>
      </c>
      <c r="O9" s="9" t="n">
        <f aca="false">SUM(COUNTIF('January 2026'!C11:AG11,"S"),COUNTIF('February 2026'!C11:AD11,"S"),COUNTIF('March 2026'!C11:AG11,"S"),COUNTIF('April 2026'!C11:AF11,"S"),COUNTIF('May 2026'!C11:AG11,"S"),COUNTIF('June 2026'!C11:AF11,"S"),COUNTIF('July 2026'!C11:AG11,"S"),COUNTIF('August 2026'!C11:AG11,"S"),COUNTIF('September 2026'!C11:AF11,"S"),COUNTIF('October 2026'!C11:AG11,"S"),COUNTIF('November 2026'!C11:AF11,"S"),COUNTIF('December 2026'!C11:AG11,"S"))</f>
        <v>7</v>
      </c>
      <c r="P9" s="9" t="n">
        <f aca="false">SUM(COUNTIF('January 2026'!C11:AG11,"M"),COUNTIF('February 2026'!C11:AD11,"M"),COUNTIF('March 2026'!C11:AG11,"M"),COUNTIF('April 2026'!C11:AF11,"M"),COUNTIF('May 2026'!C11:AG11,"M"),COUNTIF('June 2026'!C11:AF11,"M"),COUNTIF('July 2026'!C11:AG11,"M"),COUNTIF('August 2026'!C11:AG11,"M"),COUNTIF('September 2026'!C11:AF11,"M"),COUNTIF('October 2026'!C11:AG11,"M"),COUNTIF('November 2026'!C11:AF11,"M"),COUNTIF('December 2026'!C11:AG11,"M"))</f>
        <v>0</v>
      </c>
      <c r="Q9" s="9" t="n">
        <f aca="false">SUM(COUNTIF('January 2026'!C11:AG11,"C"),COUNTIF('February 2026'!C11:AD11,"C"),COUNTIF('March 2026'!C11:AG11,"C"),COUNTIF('April 2026'!C11:AF11,"C"),COUNTIF('May 2026'!C11:AG11,"C"),COUNTIF('June 2026'!C11:AF11,"C"),COUNTIF('July 2026'!C11:AG11,"C"),COUNTIF('August 2026'!C11:AG11,"C"),COUNTIF('September 2026'!C11:AF11,"C"),COUNTIF('October 2026'!C11:AG11,"C"),COUNTIF('November 2026'!C11:AF11,"C"),COUNTIF('December 2026'!C11:AG11,"C"))</f>
        <v>0</v>
      </c>
      <c r="R9" s="9" t="n">
        <f aca="false">SUM(COUNTIF('January 2026'!C11:AG11,"V"),COUNTIF('February 2026'!C11:AD11,"V"),COUNTIF('March 2026'!C11:AG11,"V"),COUNTIF('April 2026'!C11:AF11,"V"),COUNTIF('May 2026'!C11:AG11,"V"),COUNTIF('June 2026'!C11:AF11,"V"),COUNTIF('July 2026'!C11:AG11,"V"),COUNTIF('August 2026'!C11:AG11,"V"),COUNTIF('September 2026'!C11:AF11,"V"),COUNTIF('October 2026'!C11:AG11,"V"),COUNTIF('November 2026'!C11:AF11,"V"),COUNTIF('December 2026'!C11:AG11,"V"))</f>
        <v>3</v>
      </c>
      <c r="S9" s="9" t="n">
        <f aca="false">SUM(COUNTIF('January 2026'!C11:AG11,"A"),COUNTIF('February 2026'!C11:AD11,"A"),COUNTIF('March 2026'!C11:AG11,"A"),COUNTIF('April 2026'!C11:AF11,"A"),COUNTIF('May 2026'!C11:AG11,"A"),COUNTIF('June 2026'!C11:AF11,"A"),COUNTIF('July 2026'!C11:AG11,"A"),COUNTIF('August 2026'!C11:AG11,"A"),COUNTIF('September 2026'!C11:AF11,"A"),COUNTIF('October 2026'!C11:AG11,"A"),COUNTIF('November 2026'!C11:AF11,"A"),COUNTIF('December 2026'!C11:AG11,"A"))</f>
        <v>0</v>
      </c>
    </row>
    <row r="10" customFormat="false" ht="19.5" hidden="false" customHeight="true" outlineLevel="0" collapsed="false">
      <c r="A10" s="0" t="n">
        <v>13</v>
      </c>
      <c r="B10" s="8" t="str">
        <f aca="false">'January 2026'!B12</f>
        <v>Cyril Elorm Dzamaklu</v>
      </c>
      <c r="C10" s="9" t="n">
        <v>33</v>
      </c>
      <c r="D10" s="9" t="n">
        <v>2</v>
      </c>
      <c r="E10" s="9" t="n">
        <f aca="false">SUM(C10:D10)</f>
        <v>35</v>
      </c>
      <c r="G10" s="9" t="n">
        <f aca="false">SUM('January 2026'!AH12,'February 2026'!AE12,'March 2026'!AH12,'April 2026'!AG12,'May 2026'!AH12,'June 2026'!AG12,'July 2026'!AH12,'August 2026'!AH12,'September 2026'!AG12,'October 2026'!AH12,'November 2026'!AG12,'December 2026'!AH12)</f>
        <v>21</v>
      </c>
      <c r="H10" s="9" t="n">
        <f aca="false">E10-G10</f>
        <v>14</v>
      </c>
      <c r="J10" s="9" t="n">
        <v>12</v>
      </c>
      <c r="K10" s="9" t="n">
        <f aca="false">SUM(COUNTIF('January 2026'!C12:AG12,"H1"),COUNTIF('February 2026'!C12:AD12,"H1"),COUNTIF('March 2026'!C12:AG12,"H1"),COUNTIF('April 2026'!C12:AF12,"H1"),COUNTIF('May 2026'!C12:AG12,"H1"),COUNTIF('June 2026'!C12:AF12,"H1"),COUNTIF('July 2026'!C12:AG12,"H1"),COUNTIF('August 2026'!C12:AG12,"H1"),COUNTIF('September 2026'!C12:AF12,"H1"),COUNTIF('October 2026'!C12:AG12,"H1"),COUNTIF('November 2026'!C12:AF12,"H1"),COUNTIF('December 2026'!C12:AG12,"H1"))</f>
        <v>0</v>
      </c>
      <c r="L10" s="9" t="n">
        <f aca="false">SUM(COUNTIF('January 2026'!C12:AG12,"H2"),COUNTIF('February 2026'!C12:AD12,"H2"),COUNTIF('March 2026'!C12:AG12,"H2"),COUNTIF('April 2026'!C12:AF12,"H2"),COUNTIF('May 2026'!C12:AG12,"H2"),COUNTIF('June 2026'!C12:AF12,"H2"),COUNTIF('July 2026'!C12:AG12,"H2"),COUNTIF('August 2026'!C12:AG12,"H2"),COUNTIF('September 2026'!C12:AF12,"H2"),COUNTIF('October 2026'!C12:AG12,"H2"),COUNTIF('November 2026'!C12:AF12,"H2"),COUNTIF('December 2026'!C12:AG12,"H2"))</f>
        <v>0</v>
      </c>
      <c r="M10" s="9" t="n">
        <f aca="false">SUM(COUNTIF('January 2026'!C12:AG12,"Q"),COUNTIF('February 2026'!C12:AD12,"Q"),COUNTIF('March 2026'!C12:AG12,"Q"),COUNTIF('April 2026'!C12:AF12,"Q"),COUNTIF('May 2026'!C12:AG12,"Q"),COUNTIF('June 2026'!C12:AF12,"Q"),COUNTIF('July 2026'!C12:AG12,"Q"),COUNTIF('August 2026'!C12:AG12,"Q"),COUNTIF('September 2026'!C12:AF12,"Q"),COUNTIF('October 2026'!C12:AG12,"Q"),COUNTIF('November 2026'!C12:AF12,"Q"),COUNTIF('December 2026'!C12:AG12,"Q"))</f>
        <v>0</v>
      </c>
      <c r="N10" s="9" t="n">
        <f aca="false">SUM(COUNTIF('January 2026'!C12:AG12,"I"),COUNTIF('February 2026'!C12:AD12,"I"),COUNTIF('March 2026'!C12:AG12,"I"),COUNTIF('April 2026'!C12:AF12,"I"),COUNTIF('May 2026'!C12:AG12,"I"),COUNTIF('June 2026'!C12:AF12,"I"),COUNTIF('July 2026'!C12:AG12,"I"),COUNTIF('August 2026'!C12:AG12,"I"),COUNTIF('September 2026'!C12:AF12,"I"),COUNTIF('October 2026'!C12:AG12,"I"),COUNTIF('November 2026'!C12:AF12,"I"),COUNTIF('December 2026'!C12:AG12,"I"))</f>
        <v>0</v>
      </c>
      <c r="O10" s="9" t="n">
        <f aca="false">SUM(COUNTIF('January 2026'!C12:AG12,"S"),COUNTIF('February 2026'!C12:AD12,"S"),COUNTIF('March 2026'!C12:AG12,"S"),COUNTIF('April 2026'!C12:AF12,"S"),COUNTIF('May 2026'!C12:AG12,"S"),COUNTIF('June 2026'!C12:AF12,"S"),COUNTIF('July 2026'!C12:AG12,"S"),COUNTIF('August 2026'!C12:AG12,"S"),COUNTIF('September 2026'!C12:AF12,"S"),COUNTIF('October 2026'!C12:AG12,"S"),COUNTIF('November 2026'!C12:AF12,"S"),COUNTIF('December 2026'!C12:AG12,"S"))</f>
        <v>0</v>
      </c>
      <c r="P10" s="9" t="n">
        <f aca="false">SUM(COUNTIF('January 2026'!C12:AG12,"M"),COUNTIF('February 2026'!C12:AD12,"M"),COUNTIF('March 2026'!C12:AG12,"M"),COUNTIF('April 2026'!C12:AF12,"M"),COUNTIF('May 2026'!C12:AG12,"M"),COUNTIF('June 2026'!C12:AF12,"M"),COUNTIF('July 2026'!C12:AG12,"M"),COUNTIF('August 2026'!C12:AG12,"M"),COUNTIF('September 2026'!C12:AF12,"M"),COUNTIF('October 2026'!C12:AG12,"M"),COUNTIF('November 2026'!C12:AF12,"M"),COUNTIF('December 2026'!C12:AG12,"M"))</f>
        <v>0</v>
      </c>
      <c r="Q10" s="9" t="n">
        <f aca="false">SUM(COUNTIF('January 2026'!C12:AG12,"C"),COUNTIF('February 2026'!C12:AD12,"C"),COUNTIF('March 2026'!C12:AG12,"C"),COUNTIF('April 2026'!C12:AF12,"C"),COUNTIF('May 2026'!C12:AG12,"C"),COUNTIF('June 2026'!C12:AF12,"C"),COUNTIF('July 2026'!C12:AG12,"C"),COUNTIF('August 2026'!C12:AG12,"C"),COUNTIF('September 2026'!C12:AF12,"C"),COUNTIF('October 2026'!C12:AG12,"C"),COUNTIF('November 2026'!C12:AF12,"C"),COUNTIF('December 2026'!C12:AG12,"C"))</f>
        <v>1</v>
      </c>
      <c r="R10" s="9" t="n">
        <f aca="false">SUM(COUNTIF('January 2026'!C12:AG12,"V"),COUNTIF('February 2026'!C12:AD12,"V"),COUNTIF('March 2026'!C12:AG12,"V"),COUNTIF('April 2026'!C12:AF12,"V"),COUNTIF('May 2026'!C12:AG12,"V"),COUNTIF('June 2026'!C12:AF12,"V"),COUNTIF('July 2026'!C12:AG12,"V"),COUNTIF('August 2026'!C12:AG12,"V"),COUNTIF('September 2026'!C12:AF12,"V"),COUNTIF('October 2026'!C12:AG12,"V"),COUNTIF('November 2026'!C12:AF12,"V"),COUNTIF('December 2026'!C12:AG12,"V"))</f>
        <v>8</v>
      </c>
      <c r="S10" s="9" t="n">
        <f aca="false">SUM(COUNTIF('January 2026'!C12:AG12,"A"),COUNTIF('February 2026'!C12:AD12,"A"),COUNTIF('March 2026'!C12:AG12,"A"),COUNTIF('April 2026'!C12:AF12,"A"),COUNTIF('May 2026'!C12:AG12,"A"),COUNTIF('June 2026'!C12:AF12,"A"),COUNTIF('July 2026'!C12:AG12,"A"),COUNTIF('August 2026'!C12:AG12,"A"),COUNTIF('September 2026'!C12:AF12,"A"),COUNTIF('October 2026'!C12:AG12,"A"),COUNTIF('November 2026'!C12:AF12,"A"),COUNTIF('December 2026'!C12:AG12,"A"))</f>
        <v>0</v>
      </c>
    </row>
    <row r="11" customFormat="false" ht="19.5" hidden="false" customHeight="true" outlineLevel="0" collapsed="false">
      <c r="A11" s="0" t="n">
        <v>14</v>
      </c>
      <c r="B11" s="8" t="str">
        <f aca="false">'January 2026'!B13</f>
        <v>Edwin Sedem Lawuiekpor</v>
      </c>
      <c r="C11" s="9" t="n">
        <v>33</v>
      </c>
      <c r="D11" s="9"/>
      <c r="E11" s="9" t="n">
        <f aca="false">SUM(C11:D11)</f>
        <v>33</v>
      </c>
      <c r="G11" s="9" t="n">
        <f aca="false">SUM('January 2026'!AH13,'February 2026'!AE13,'March 2026'!AH13,'April 2026'!AG13,'May 2026'!AH13,'June 2026'!AG13,'July 2026'!AH13,'August 2026'!AH13,'September 2026'!AG13,'October 2026'!AH13,'November 2026'!AG13,'December 2026'!AH13)</f>
        <v>16.5</v>
      </c>
      <c r="H11" s="9" t="n">
        <f aca="false">E11-G11</f>
        <v>16.5</v>
      </c>
      <c r="J11" s="9" t="n">
        <v>12</v>
      </c>
      <c r="K11" s="9" t="n">
        <f aca="false">SUM(COUNTIF('January 2026'!C13:AG13,"H1"),COUNTIF('February 2026'!C13:AD13,"H1"),COUNTIF('March 2026'!C13:AG13,"H1"),COUNTIF('April 2026'!C13:AF13,"H1"),COUNTIF('May 2026'!C13:AG13,"H1"),COUNTIF('June 2026'!C13:AF13,"H1"),COUNTIF('July 2026'!C13:AG13,"H1"),COUNTIF('August 2026'!C13:AG13,"H1"),COUNTIF('September 2026'!C13:AF13,"H1"),COUNTIF('October 2026'!C13:AG13,"H1"),COUNTIF('November 2026'!C13:AF13,"H1"),COUNTIF('December 2026'!C13:AG13,"H1"))</f>
        <v>0</v>
      </c>
      <c r="L11" s="9" t="n">
        <f aca="false">SUM(COUNTIF('January 2026'!C13:AG13,"H2"),COUNTIF('February 2026'!C13:AD13,"H2"),COUNTIF('March 2026'!C13:AG13,"H2"),COUNTIF('April 2026'!C13:AF13,"H2"),COUNTIF('May 2026'!C13:AG13,"H2"),COUNTIF('June 2026'!C13:AF13,"H2"),COUNTIF('July 2026'!C13:AG13,"H2"),COUNTIF('August 2026'!C13:AG13,"H2"),COUNTIF('September 2026'!C13:AF13,"H2"),COUNTIF('October 2026'!C13:AG13,"H2"),COUNTIF('November 2026'!C13:AF13,"H2"),COUNTIF('December 2026'!C13:AG13,"H2"))</f>
        <v>1</v>
      </c>
      <c r="M11" s="9" t="n">
        <f aca="false">SUM(COUNTIF('January 2026'!C13:AG13,"Q"),COUNTIF('February 2026'!C13:AD13,"Q"),COUNTIF('March 2026'!C13:AG13,"Q"),COUNTIF('April 2026'!C13:AF13,"Q"),COUNTIF('May 2026'!C13:AG13,"Q"),COUNTIF('June 2026'!C13:AF13,"Q"),COUNTIF('July 2026'!C13:AG13,"Q"),COUNTIF('August 2026'!C13:AG13,"Q"),COUNTIF('September 2026'!C13:AF13,"Q"),COUNTIF('October 2026'!C13:AG13,"Q"),COUNTIF('November 2026'!C13:AF13,"Q"),COUNTIF('December 2026'!C13:AG13,"Q"))</f>
        <v>0</v>
      </c>
      <c r="N11" s="9" t="n">
        <f aca="false">SUM(COUNTIF('January 2026'!C13:AG13,"I"),COUNTIF('February 2026'!C13:AD13,"I"),COUNTIF('March 2026'!C13:AG13,"I"),COUNTIF('April 2026'!C13:AF13,"I"),COUNTIF('May 2026'!C13:AG13,"I"),COUNTIF('June 2026'!C13:AF13,"I"),COUNTIF('July 2026'!C13:AG13,"I"),COUNTIF('August 2026'!C13:AG13,"I"),COUNTIF('September 2026'!C13:AF13,"I"),COUNTIF('October 2026'!C13:AG13,"I"),COUNTIF('November 2026'!C13:AF13,"I"),COUNTIF('December 2026'!C13:AG13,"I"))</f>
        <v>0</v>
      </c>
      <c r="O11" s="9" t="n">
        <f aca="false">SUM(COUNTIF('January 2026'!C13:AG13,"S"),COUNTIF('February 2026'!C13:AD13,"S"),COUNTIF('March 2026'!C13:AG13,"S"),COUNTIF('April 2026'!C13:AF13,"S"),COUNTIF('May 2026'!C13:AG13,"S"),COUNTIF('June 2026'!C13:AF13,"S"),COUNTIF('July 2026'!C13:AG13,"S"),COUNTIF('August 2026'!C13:AG13,"S"),COUNTIF('September 2026'!C13:AF13,"S"),COUNTIF('October 2026'!C13:AG13,"S"),COUNTIF('November 2026'!C13:AF13,"S"),COUNTIF('December 2026'!C13:AG13,"S"))</f>
        <v>4</v>
      </c>
      <c r="P11" s="9" t="n">
        <f aca="false">SUM(COUNTIF('January 2026'!C13:AG13,"M"),COUNTIF('February 2026'!C13:AD13,"M"),COUNTIF('March 2026'!C13:AG13,"M"),COUNTIF('April 2026'!C13:AF13,"M"),COUNTIF('May 2026'!C13:AG13,"M"),COUNTIF('June 2026'!C13:AF13,"M"),COUNTIF('July 2026'!C13:AG13,"M"),COUNTIF('August 2026'!C13:AG13,"M"),COUNTIF('September 2026'!C13:AF13,"M"),COUNTIF('October 2026'!C13:AG13,"M"),COUNTIF('November 2026'!C13:AF13,"M"),COUNTIF('December 2026'!C13:AG13,"M"))</f>
        <v>0</v>
      </c>
      <c r="Q11" s="9" t="n">
        <f aca="false">SUM(COUNTIF('January 2026'!C13:AG13,"C"),COUNTIF('February 2026'!C13:AD13,"C"),COUNTIF('March 2026'!C13:AG13,"C"),COUNTIF('April 2026'!C13:AF13,"C"),COUNTIF('May 2026'!C13:AG13,"C"),COUNTIF('June 2026'!C13:AF13,"C"),COUNTIF('July 2026'!C13:AG13,"C"),COUNTIF('August 2026'!C13:AG13,"C"),COUNTIF('September 2026'!C13:AF13,"C"),COUNTIF('October 2026'!C13:AG13,"C"),COUNTIF('November 2026'!C13:AF13,"C"),COUNTIF('December 2026'!C13:AG13,"C"))</f>
        <v>0</v>
      </c>
      <c r="R11" s="9" t="n">
        <f aca="false">SUM(COUNTIF('January 2026'!C13:AG13,"V"),COUNTIF('February 2026'!C13:AD13,"V"),COUNTIF('March 2026'!C13:AG13,"V"),COUNTIF('April 2026'!C13:AF13,"V"),COUNTIF('May 2026'!C13:AG13,"V"),COUNTIF('June 2026'!C13:AF13,"V"),COUNTIF('July 2026'!C13:AG13,"V"),COUNTIF('August 2026'!C13:AG13,"V"),COUNTIF('September 2026'!C13:AF13,"V"),COUNTIF('October 2026'!C13:AG13,"V"),COUNTIF('November 2026'!C13:AF13,"V"),COUNTIF('December 2026'!C13:AG13,"V"))</f>
        <v>3</v>
      </c>
      <c r="S11" s="9" t="n">
        <f aca="false">SUM(COUNTIF('January 2026'!C13:AG13,"A"),COUNTIF('February 2026'!C13:AD13,"A"),COUNTIF('March 2026'!C13:AG13,"A"),COUNTIF('April 2026'!C13:AF13,"A"),COUNTIF('May 2026'!C13:AG13,"A"),COUNTIF('June 2026'!C13:AF13,"A"),COUNTIF('July 2026'!C13:AG13,"A"),COUNTIF('August 2026'!C13:AG13,"A"),COUNTIF('September 2026'!C13:AF13,"A"),COUNTIF('October 2026'!C13:AG13,"A"),COUNTIF('November 2026'!C13:AF13,"A"),COUNTIF('December 2026'!C13:AG13,"A"))</f>
        <v>0</v>
      </c>
    </row>
    <row r="12" customFormat="false" ht="19.5" hidden="false" customHeight="true" outlineLevel="0" collapsed="false">
      <c r="A12" s="0" t="n">
        <v>15</v>
      </c>
      <c r="B12" s="8" t="str">
        <f aca="false">'January 2026'!B14</f>
        <v>Emmanuel Quansah</v>
      </c>
      <c r="C12" s="9" t="n">
        <v>33</v>
      </c>
      <c r="D12" s="9"/>
      <c r="E12" s="9" t="n">
        <f aca="false">SUM(C12:D12)</f>
        <v>33</v>
      </c>
      <c r="G12" s="9" t="n">
        <f aca="false">SUM('January 2026'!AH14,'February 2026'!AE14,'March 2026'!AH14,'April 2026'!AG14,'May 2026'!AH14,'June 2026'!AG14,'July 2026'!AH14,'August 2026'!AH14,'September 2026'!AG14,'October 2026'!AH14,'November 2026'!AG14,'December 2026'!AH14)</f>
        <v>19</v>
      </c>
      <c r="H12" s="9" t="n">
        <f aca="false">E12-G12</f>
        <v>14</v>
      </c>
      <c r="J12" s="9" t="n">
        <v>12</v>
      </c>
      <c r="K12" s="9" t="n">
        <f aca="false">SUM(COUNTIF('January 2026'!C14:AG14,"H1"),COUNTIF('February 2026'!C14:AD14,"H1"),COUNTIF('March 2026'!C14:AG14,"H1"),COUNTIF('April 2026'!C14:AF14,"H1"),COUNTIF('May 2026'!C14:AG14,"H1"),COUNTIF('June 2026'!C14:AF14,"H1"),COUNTIF('July 2026'!C14:AG14,"H1"),COUNTIF('August 2026'!C14:AG14,"H1"),COUNTIF('September 2026'!C14:AF14,"H1"),COUNTIF('October 2026'!C14:AG14,"H1"),COUNTIF('November 2026'!C14:AF14,"H1"),COUNTIF('December 2026'!C14:AG14,"H1"))</f>
        <v>0</v>
      </c>
      <c r="L12" s="9" t="n">
        <f aca="false">SUM(COUNTIF('January 2026'!C14:AG14,"H2"),COUNTIF('February 2026'!C14:AD14,"H2"),COUNTIF('March 2026'!C14:AG14,"H2"),COUNTIF('April 2026'!C14:AF14,"H2"),COUNTIF('May 2026'!C14:AG14,"H2"),COUNTIF('June 2026'!C14:AF14,"H2"),COUNTIF('July 2026'!C14:AG14,"H2"),COUNTIF('August 2026'!C14:AG14,"H2"),COUNTIF('September 2026'!C14:AF14,"H2"),COUNTIF('October 2026'!C14:AG14,"H2"),COUNTIF('November 2026'!C14:AF14,"H2"),COUNTIF('December 2026'!C14:AG14,"H2"))</f>
        <v>0</v>
      </c>
      <c r="M12" s="9" t="n">
        <f aca="false">SUM(COUNTIF('January 2026'!C14:AG14,"Q"),COUNTIF('February 2026'!C14:AD14,"Q"),COUNTIF('March 2026'!C14:AG14,"Q"),COUNTIF('April 2026'!C14:AF14,"Q"),COUNTIF('May 2026'!C14:AG14,"Q"),COUNTIF('June 2026'!C14:AF14,"Q"),COUNTIF('July 2026'!C14:AG14,"Q"),COUNTIF('August 2026'!C14:AG14,"Q"),COUNTIF('September 2026'!C14:AF14,"Q"),COUNTIF('October 2026'!C14:AG14,"Q"),COUNTIF('November 2026'!C14:AF14,"Q"),COUNTIF('December 2026'!C14:AG14,"Q"))</f>
        <v>0</v>
      </c>
      <c r="N12" s="9" t="n">
        <f aca="false">SUM(COUNTIF('January 2026'!C14:AG14,"I"),COUNTIF('February 2026'!C14:AD14,"I"),COUNTIF('March 2026'!C14:AG14,"I"),COUNTIF('April 2026'!C14:AF14,"I"),COUNTIF('May 2026'!C14:AG14,"I"),COUNTIF('June 2026'!C14:AF14,"I"),COUNTIF('July 2026'!C14:AG14,"I"),COUNTIF('August 2026'!C14:AG14,"I"),COUNTIF('September 2026'!C14:AF14,"I"),COUNTIF('October 2026'!C14:AG14,"I"),COUNTIF('November 2026'!C14:AF14,"I"),COUNTIF('December 2026'!C14:AG14,"I"))</f>
        <v>0</v>
      </c>
      <c r="O12" s="9" t="n">
        <f aca="false">SUM(COUNTIF('January 2026'!C14:AG14,"S"),COUNTIF('February 2026'!C14:AD14,"S"),COUNTIF('March 2026'!C14:AG14,"S"),COUNTIF('April 2026'!C14:AF14,"S"),COUNTIF('May 2026'!C14:AG14,"S"),COUNTIF('June 2026'!C14:AF14,"S"),COUNTIF('July 2026'!C14:AG14,"S"),COUNTIF('August 2026'!C14:AG14,"S"),COUNTIF('September 2026'!C14:AF14,"S"),COUNTIF('October 2026'!C14:AG14,"S"),COUNTIF('November 2026'!C14:AF14,"S"),COUNTIF('December 2026'!C14:AG14,"S"))</f>
        <v>6</v>
      </c>
      <c r="P12" s="9" t="n">
        <f aca="false">SUM(COUNTIF('January 2026'!C14:AG14,"M"),COUNTIF('February 2026'!C14:AD14,"M"),COUNTIF('March 2026'!C14:AG14,"M"),COUNTIF('April 2026'!C14:AF14,"M"),COUNTIF('May 2026'!C14:AG14,"M"),COUNTIF('June 2026'!C14:AF14,"M"),COUNTIF('July 2026'!C14:AG14,"M"),COUNTIF('August 2026'!C14:AG14,"M"),COUNTIF('September 2026'!C14:AF14,"M"),COUNTIF('October 2026'!C14:AG14,"M"),COUNTIF('November 2026'!C14:AF14,"M"),COUNTIF('December 2026'!C14:AG14,"M"))</f>
        <v>0</v>
      </c>
      <c r="Q12" s="9" t="n">
        <f aca="false">SUM(COUNTIF('January 2026'!C14:AG14,"C"),COUNTIF('February 2026'!C14:AD14,"C"),COUNTIF('March 2026'!C14:AG14,"C"),COUNTIF('April 2026'!C14:AF14,"C"),COUNTIF('May 2026'!C14:AG14,"C"),COUNTIF('June 2026'!C14:AF14,"C"),COUNTIF('July 2026'!C14:AG14,"C"),COUNTIF('August 2026'!C14:AG14,"C"),COUNTIF('September 2026'!C14:AF14,"C"),COUNTIF('October 2026'!C14:AG14,"C"),COUNTIF('November 2026'!C14:AF14,"C"),COUNTIF('December 2026'!C14:AG14,"C"))</f>
        <v>0</v>
      </c>
      <c r="R12" s="9" t="n">
        <f aca="false">SUM(COUNTIF('January 2026'!C14:AG14,"V"),COUNTIF('February 2026'!C14:AD14,"V"),COUNTIF('March 2026'!C14:AG14,"V"),COUNTIF('April 2026'!C14:AF14,"V"),COUNTIF('May 2026'!C14:AG14,"V"),COUNTIF('June 2026'!C14:AF14,"V"),COUNTIF('July 2026'!C14:AG14,"V"),COUNTIF('August 2026'!C14:AG14,"V"),COUNTIF('September 2026'!C14:AF14,"V"),COUNTIF('October 2026'!C14:AG14,"V"),COUNTIF('November 2026'!C14:AF14,"V"),COUNTIF('December 2026'!C14:AG14,"V"))</f>
        <v>6</v>
      </c>
      <c r="S12" s="9" t="n">
        <f aca="false">SUM(COUNTIF('January 2026'!C14:AG14,"A"),COUNTIF('February 2026'!C14:AD14,"A"),COUNTIF('March 2026'!C14:AG14,"A"),COUNTIF('April 2026'!C14:AF14,"A"),COUNTIF('May 2026'!C14:AG14,"A"),COUNTIF('June 2026'!C14:AF14,"A"),COUNTIF('July 2026'!C14:AG14,"A"),COUNTIF('August 2026'!C14:AG14,"A"),COUNTIF('September 2026'!C14:AF14,"A"),COUNTIF('October 2026'!C14:AG14,"A"),COUNTIF('November 2026'!C14:AF14,"A"),COUNTIF('December 2026'!C14:AG14,"A"))</f>
        <v>0</v>
      </c>
    </row>
    <row r="13" customFormat="false" ht="19.5" hidden="false" customHeight="true" outlineLevel="0" collapsed="false">
      <c r="A13" s="0" t="n">
        <v>16</v>
      </c>
      <c r="B13" s="8" t="str">
        <f aca="false">'January 2026'!B15</f>
        <v>Ben Oni Dankyi Ofosu</v>
      </c>
      <c r="C13" s="9" t="n">
        <v>27</v>
      </c>
      <c r="D13" s="9"/>
      <c r="E13" s="9" t="n">
        <f aca="false">SUM(C13:D13)</f>
        <v>27</v>
      </c>
      <c r="G13" s="9" t="n">
        <f aca="false">SUM('January 2026'!AH15,'February 2026'!AE15,'March 2026'!AH15,'April 2026'!AG15,'May 2026'!AH15,'June 2026'!AG15,'July 2026'!AH15,'August 2026'!AH15,'September 2026'!AG15,'October 2026'!AH15,'November 2026'!AG15,'December 2026'!AH15)</f>
        <v>22</v>
      </c>
      <c r="H13" s="9" t="n">
        <f aca="false">E13-G13</f>
        <v>5</v>
      </c>
      <c r="J13" s="9" t="n">
        <v>12</v>
      </c>
      <c r="K13" s="9" t="n">
        <f aca="false">SUM(COUNTIF('January 2026'!C15:AG15,"H1"),COUNTIF('February 2026'!C15:AD15,"H1"),COUNTIF('March 2026'!C15:AG15,"H1"),COUNTIF('April 2026'!C15:AF15,"H1"),COUNTIF('May 2026'!C15:AG15,"H1"),COUNTIF('June 2026'!C15:AF15,"H1"),COUNTIF('July 2026'!C15:AG15,"H1"),COUNTIF('August 2026'!C15:AG15,"H1"),COUNTIF('September 2026'!C15:AF15,"H1"),COUNTIF('October 2026'!C15:AG15,"H1"),COUNTIF('November 2026'!C15:AF15,"H1"),COUNTIF('December 2026'!C15:AG15,"H1"))</f>
        <v>0</v>
      </c>
      <c r="L13" s="9" t="n">
        <f aca="false">SUM(COUNTIF('January 2026'!C15:AG15,"H2"),COUNTIF('February 2026'!C15:AD15,"H2"),COUNTIF('March 2026'!C15:AG15,"H2"),COUNTIF('April 2026'!C15:AF15,"H2"),COUNTIF('May 2026'!C15:AG15,"H2"),COUNTIF('June 2026'!C15:AF15,"H2"),COUNTIF('July 2026'!C15:AG15,"H2"),COUNTIF('August 2026'!C15:AG15,"H2"),COUNTIF('September 2026'!C15:AF15,"H2"),COUNTIF('October 2026'!C15:AG15,"H2"),COUNTIF('November 2026'!C15:AF15,"H2"),COUNTIF('December 2026'!C15:AG15,"H2"))</f>
        <v>0</v>
      </c>
      <c r="M13" s="9" t="n">
        <f aca="false">SUM(COUNTIF('January 2026'!C15:AG15,"Q"),COUNTIF('February 2026'!C15:AD15,"Q"),COUNTIF('March 2026'!C15:AG15,"Q"),COUNTIF('April 2026'!C15:AF15,"Q"),COUNTIF('May 2026'!C15:AG15,"Q"),COUNTIF('June 2026'!C15:AF15,"Q"),COUNTIF('July 2026'!C15:AG15,"Q"),COUNTIF('August 2026'!C15:AG15,"Q"),COUNTIF('September 2026'!C15:AF15,"Q"),COUNTIF('October 2026'!C15:AG15,"Q"),COUNTIF('November 2026'!C15:AF15,"Q"),COUNTIF('December 2026'!C15:AG15,"Q"))</f>
        <v>0</v>
      </c>
      <c r="N13" s="9" t="n">
        <f aca="false">SUM(COUNTIF('January 2026'!C15:AG15,"I"),COUNTIF('February 2026'!C15:AD15,"I"),COUNTIF('March 2026'!C15:AG15,"I"),COUNTIF('April 2026'!C15:AF15,"I"),COUNTIF('May 2026'!C15:AG15,"I"),COUNTIF('June 2026'!C15:AF15,"I"),COUNTIF('July 2026'!C15:AG15,"I"),COUNTIF('August 2026'!C15:AG15,"I"),COUNTIF('September 2026'!C15:AF15,"I"),COUNTIF('October 2026'!C15:AG15,"I"),COUNTIF('November 2026'!C15:AF15,"I"),COUNTIF('December 2026'!C15:AG15,"I"))</f>
        <v>0</v>
      </c>
      <c r="O13" s="9" t="n">
        <f aca="false">SUM(COUNTIF('January 2026'!C15:AG15,"S"),COUNTIF('February 2026'!C15:AD15,"S"),COUNTIF('March 2026'!C15:AG15,"S"),COUNTIF('April 2026'!C15:AF15,"S"),COUNTIF('May 2026'!C15:AG15,"S"),COUNTIF('June 2026'!C15:AF15,"S"),COUNTIF('July 2026'!C15:AG15,"S"),COUNTIF('August 2026'!C15:AG15,"S"),COUNTIF('September 2026'!C15:AF15,"S"),COUNTIF('October 2026'!C15:AG15,"S"),COUNTIF('November 2026'!C15:AF15,"S"),COUNTIF('December 2026'!C15:AG15,"S"))</f>
        <v>2</v>
      </c>
      <c r="P13" s="9" t="n">
        <f aca="false">SUM(COUNTIF('January 2026'!C15:AG15,"M"),COUNTIF('February 2026'!C15:AD15,"M"),COUNTIF('March 2026'!C15:AG15,"M"),COUNTIF('April 2026'!C15:AF15,"M"),COUNTIF('May 2026'!C15:AG15,"M"),COUNTIF('June 2026'!C15:AF15,"M"),COUNTIF('July 2026'!C15:AG15,"M"),COUNTIF('August 2026'!C15:AG15,"M"),COUNTIF('September 2026'!C15:AF15,"M"),COUNTIF('October 2026'!C15:AG15,"M"),COUNTIF('November 2026'!C15:AF15,"M"),COUNTIF('December 2026'!C15:AG15,"M"))</f>
        <v>0</v>
      </c>
      <c r="Q13" s="9" t="n">
        <f aca="false">SUM(COUNTIF('January 2026'!C15:AG15,"C"),COUNTIF('February 2026'!C15:AD15,"C"),COUNTIF('March 2026'!C15:AG15,"C"),COUNTIF('April 2026'!C15:AF15,"C"),COUNTIF('May 2026'!C15:AG15,"C"),COUNTIF('June 2026'!C15:AF15,"C"),COUNTIF('July 2026'!C15:AG15,"C"),COUNTIF('August 2026'!C15:AG15,"C"),COUNTIF('September 2026'!C15:AF15,"C"),COUNTIF('October 2026'!C15:AG15,"C"),COUNTIF('November 2026'!C15:AF15,"C"),COUNTIF('December 2026'!C15:AG15,"C"))</f>
        <v>0</v>
      </c>
      <c r="R13" s="9" t="n">
        <f aca="false">SUM(COUNTIF('January 2026'!C15:AG15,"V"),COUNTIF('February 2026'!C15:AD15,"V"),COUNTIF('March 2026'!C15:AG15,"V"),COUNTIF('April 2026'!C15:AF15,"V"),COUNTIF('May 2026'!C15:AG15,"V"),COUNTIF('June 2026'!C15:AF15,"V"),COUNTIF('July 2026'!C15:AG15,"V"),COUNTIF('August 2026'!C15:AG15,"V"),COUNTIF('September 2026'!C15:AF15,"V"),COUNTIF('October 2026'!C15:AG15,"V"),COUNTIF('November 2026'!C15:AF15,"V"),COUNTIF('December 2026'!C15:AG15,"V"))</f>
        <v>9</v>
      </c>
      <c r="S13" s="9" t="n">
        <f aca="false">SUM(COUNTIF('January 2026'!C15:AG15,"A"),COUNTIF('February 2026'!C15:AD15,"A"),COUNTIF('March 2026'!C15:AG15,"A"),COUNTIF('April 2026'!C15:AF15,"A"),COUNTIF('May 2026'!C15:AG15,"A"),COUNTIF('June 2026'!C15:AF15,"A"),COUNTIF('July 2026'!C15:AG15,"A"),COUNTIF('August 2026'!C15:AG15,"A"),COUNTIF('September 2026'!C15:AF15,"A"),COUNTIF('October 2026'!C15:AG15,"A"),COUNTIF('November 2026'!C15:AF15,"A"),COUNTIF('December 2026'!C15:AG15,"A"))</f>
        <v>0</v>
      </c>
    </row>
    <row r="14" customFormat="false" ht="19.5" hidden="false" customHeight="true" outlineLevel="0" collapsed="false">
      <c r="A14" s="0" t="n">
        <v>17</v>
      </c>
      <c r="B14" s="8" t="str">
        <f aca="false">'January 2026'!B16</f>
        <v>Wahab Amoako Domson</v>
      </c>
      <c r="C14" s="9" t="n">
        <v>27</v>
      </c>
      <c r="D14" s="9"/>
      <c r="E14" s="9" t="n">
        <f aca="false">SUM(C14:D14)</f>
        <v>27</v>
      </c>
      <c r="G14" s="9" t="n">
        <f aca="false">SUM('January 2026'!AH16,'February 2026'!AE16,'March 2026'!AH16,'April 2026'!AG16,'May 2026'!AH16,'June 2026'!AG16,'July 2026'!AH16,'August 2026'!AH16,'September 2026'!AG16,'October 2026'!AH16,'November 2026'!AG16,'December 2026'!AH16)</f>
        <v>18.5</v>
      </c>
      <c r="H14" s="9" t="n">
        <f aca="false">E14-G14</f>
        <v>8.5</v>
      </c>
      <c r="J14" s="9" t="n">
        <v>12</v>
      </c>
      <c r="K14" s="9" t="n">
        <f aca="false">SUM(COUNTIF('January 2026'!C16:AG16,"H1"),COUNTIF('February 2026'!C16:AD16,"H1"),COUNTIF('March 2026'!C16:AG16,"H1"),COUNTIF('April 2026'!C16:AF16,"H1"),COUNTIF('May 2026'!C16:AG16,"H1"),COUNTIF('June 2026'!C16:AF16,"H1"),COUNTIF('July 2026'!C16:AG16,"H1"),COUNTIF('August 2026'!C16:AG16,"H1"),COUNTIF('September 2026'!C16:AF16,"H1"),COUNTIF('October 2026'!C16:AG16,"H1"),COUNTIF('November 2026'!C16:AF16,"H1"),COUNTIF('December 2026'!C16:AG16,"H1"))</f>
        <v>2</v>
      </c>
      <c r="L14" s="9" t="n">
        <f aca="false">SUM(COUNTIF('January 2026'!C16:AG16,"H2"),COUNTIF('February 2026'!C16:AD16,"H2"),COUNTIF('March 2026'!C16:AG16,"H2"),COUNTIF('April 2026'!C16:AF16,"H2"),COUNTIF('May 2026'!C16:AG16,"H2"),COUNTIF('June 2026'!C16:AF16,"H2"),COUNTIF('July 2026'!C16:AG16,"H2"),COUNTIF('August 2026'!C16:AG16,"H2"),COUNTIF('September 2026'!C16:AF16,"H2"),COUNTIF('October 2026'!C16:AG16,"H2"),COUNTIF('November 2026'!C16:AF16,"H2"),COUNTIF('December 2026'!C16:AG16,"H2"))</f>
        <v>1</v>
      </c>
      <c r="M14" s="9" t="n">
        <f aca="false">SUM(COUNTIF('January 2026'!C16:AG16,"Q"),COUNTIF('February 2026'!C16:AD16,"Q"),COUNTIF('March 2026'!C16:AG16,"Q"),COUNTIF('April 2026'!C16:AF16,"Q"),COUNTIF('May 2026'!C16:AG16,"Q"),COUNTIF('June 2026'!C16:AF16,"Q"),COUNTIF('July 2026'!C16:AG16,"Q"),COUNTIF('August 2026'!C16:AG16,"Q"),COUNTIF('September 2026'!C16:AF16,"Q"),COUNTIF('October 2026'!C16:AG16,"Q"),COUNTIF('November 2026'!C16:AF16,"Q"),COUNTIF('December 2026'!C16:AG16,"Q"))</f>
        <v>0</v>
      </c>
      <c r="N14" s="9" t="n">
        <f aca="false">SUM(COUNTIF('January 2026'!C16:AG16,"I"),COUNTIF('February 2026'!C16:AD16,"I"),COUNTIF('March 2026'!C16:AG16,"I"),COUNTIF('April 2026'!C16:AF16,"I"),COUNTIF('May 2026'!C16:AG16,"I"),COUNTIF('June 2026'!C16:AF16,"I"),COUNTIF('July 2026'!C16:AG16,"I"),COUNTIF('August 2026'!C16:AG16,"I"),COUNTIF('September 2026'!C16:AF16,"I"),COUNTIF('October 2026'!C16:AG16,"I"),COUNTIF('November 2026'!C16:AF16,"I"),COUNTIF('December 2026'!C16:AG16,"I"))</f>
        <v>0</v>
      </c>
      <c r="O14" s="9" t="n">
        <f aca="false">SUM(COUNTIF('January 2026'!C16:AG16,"S"),COUNTIF('February 2026'!C16:AD16,"S"),COUNTIF('March 2026'!C16:AG16,"S"),COUNTIF('April 2026'!C16:AF16,"S"),COUNTIF('May 2026'!C16:AG16,"S"),COUNTIF('June 2026'!C16:AF16,"S"),COUNTIF('July 2026'!C16:AG16,"S"),COUNTIF('August 2026'!C16:AG16,"S"),COUNTIF('September 2026'!C16:AF16,"S"),COUNTIF('October 2026'!C16:AG16,"S"),COUNTIF('November 2026'!C16:AF16,"S"),COUNTIF('December 2026'!C16:AG16,"S"))</f>
        <v>3</v>
      </c>
      <c r="P14" s="9" t="n">
        <f aca="false">SUM(COUNTIF('January 2026'!C16:AG16,"M"),COUNTIF('February 2026'!C16:AD16,"M"),COUNTIF('March 2026'!C16:AG16,"M"),COUNTIF('April 2026'!C16:AF16,"M"),COUNTIF('May 2026'!C16:AG16,"M"),COUNTIF('June 2026'!C16:AF16,"M"),COUNTIF('July 2026'!C16:AG16,"M"),COUNTIF('August 2026'!C16:AG16,"M"),COUNTIF('September 2026'!C16:AF16,"M"),COUNTIF('October 2026'!C16:AG16,"M"),COUNTIF('November 2026'!C16:AF16,"M"),COUNTIF('December 2026'!C16:AG16,"M"))</f>
        <v>0</v>
      </c>
      <c r="Q14" s="9" t="n">
        <f aca="false">SUM(COUNTIF('January 2026'!C16:AG16,"C"),COUNTIF('February 2026'!C16:AD16,"C"),COUNTIF('March 2026'!C16:AG16,"C"),COUNTIF('April 2026'!C16:AF16,"C"),COUNTIF('May 2026'!C16:AG16,"C"),COUNTIF('June 2026'!C16:AF16,"C"),COUNTIF('July 2026'!C16:AG16,"C"),COUNTIF('August 2026'!C16:AG16,"C"),COUNTIF('September 2026'!C16:AF16,"C"),COUNTIF('October 2026'!C16:AG16,"C"),COUNTIF('November 2026'!C16:AF16,"C"),COUNTIF('December 2026'!C16:AG16,"C"))</f>
        <v>1</v>
      </c>
      <c r="R14" s="9" t="n">
        <f aca="false">SUM(COUNTIF('January 2026'!C16:AG16,"V"),COUNTIF('February 2026'!C16:AD16,"V"),COUNTIF('March 2026'!C16:AG16,"V"),COUNTIF('April 2026'!C16:AF16,"V"),COUNTIF('May 2026'!C16:AG16,"V"),COUNTIF('June 2026'!C16:AF16,"V"),COUNTIF('July 2026'!C16:AG16,"V"),COUNTIF('August 2026'!C16:AG16,"V"),COUNTIF('September 2026'!C16:AF16,"V"),COUNTIF('October 2026'!C16:AG16,"V"),COUNTIF('November 2026'!C16:AF16,"V"),COUNTIF('December 2026'!C16:AG16,"V"))</f>
        <v>4</v>
      </c>
      <c r="S14" s="9" t="n">
        <f aca="false">SUM(COUNTIF('January 2026'!C16:AG16,"A"),COUNTIF('February 2026'!C16:AD16,"A"),COUNTIF('March 2026'!C16:AG16,"A"),COUNTIF('April 2026'!C16:AF16,"A"),COUNTIF('May 2026'!C16:AG16,"A"),COUNTIF('June 2026'!C16:AF16,"A"),COUNTIF('July 2026'!C16:AG16,"A"),COUNTIF('August 2026'!C16:AG16,"A"),COUNTIF('September 2026'!C16:AF16,"A"),COUNTIF('October 2026'!C16:AG16,"A"),COUNTIF('November 2026'!C16:AF16,"A"),COUNTIF('December 2026'!C16:AG16,"A"))</f>
        <v>0</v>
      </c>
    </row>
    <row r="15" customFormat="false" ht="19.5" hidden="false" customHeight="true" outlineLevel="0" collapsed="false">
      <c r="A15" s="0" t="n">
        <v>18</v>
      </c>
      <c r="B15" s="8" t="str">
        <f aca="false">'January 2026'!B17</f>
        <v>Emmanuel Quarshie</v>
      </c>
      <c r="C15" s="9" t="n">
        <v>27</v>
      </c>
      <c r="D15" s="9"/>
      <c r="E15" s="9" t="n">
        <f aca="false">SUM(C15:D15)</f>
        <v>27</v>
      </c>
      <c r="G15" s="9" t="n">
        <f aca="false">SUM('January 2026'!AH17,'February 2026'!AE17,'March 2026'!AH17,'April 2026'!AG17,'May 2026'!AH17,'June 2026'!AG17,'July 2026'!AH17,'August 2026'!AH17,'September 2026'!AG17,'October 2026'!AH17,'November 2026'!AG17,'December 2026'!AH17)</f>
        <v>18.75</v>
      </c>
      <c r="H15" s="9" t="n">
        <f aca="false">E15-G15</f>
        <v>8.25</v>
      </c>
      <c r="J15" s="9" t="n">
        <v>12</v>
      </c>
      <c r="K15" s="9" t="n">
        <f aca="false">SUM(COUNTIF('January 2026'!C17:AG17,"H1"),COUNTIF('February 2026'!C17:AD17,"H1"),COUNTIF('March 2026'!C17:AG17,"H1"),COUNTIF('April 2026'!C17:AF17,"H1"),COUNTIF('May 2026'!C17:AG17,"H1"),COUNTIF('June 2026'!C17:AF17,"H1"),COUNTIF('July 2026'!C17:AG17,"H1"),COUNTIF('August 2026'!C17:AG17,"H1"),COUNTIF('September 2026'!C17:AF17,"H1"),COUNTIF('October 2026'!C17:AG17,"H1"),COUNTIF('November 2026'!C17:AF17,"H1"),COUNTIF('December 2026'!C17:AG17,"H1"))</f>
        <v>1</v>
      </c>
      <c r="L15" s="9" t="n">
        <f aca="false">SUM(COUNTIF('January 2026'!C17:AG17,"H2"),COUNTIF('February 2026'!C17:AD17,"H2"),COUNTIF('March 2026'!C17:AG17,"H2"),COUNTIF('April 2026'!C17:AF17,"H2"),COUNTIF('May 2026'!C17:AG17,"H2"),COUNTIF('June 2026'!C17:AF17,"H2"),COUNTIF('July 2026'!C17:AG17,"H2"),COUNTIF('August 2026'!C17:AG17,"H2"),COUNTIF('September 2026'!C17:AF17,"H2"),COUNTIF('October 2026'!C17:AG17,"H2"),COUNTIF('November 2026'!C17:AF17,"H2"),COUNTIF('December 2026'!C17:AG17,"H2"))</f>
        <v>0</v>
      </c>
      <c r="M15" s="9" t="n">
        <f aca="false">SUM(COUNTIF('January 2026'!C17:AG17,"Q"),COUNTIF('February 2026'!C17:AD17,"Q"),COUNTIF('March 2026'!C17:AG17,"Q"),COUNTIF('April 2026'!C17:AF17,"Q"),COUNTIF('May 2026'!C17:AG17,"Q"),COUNTIF('June 2026'!C17:AF17,"Q"),COUNTIF('July 2026'!C17:AG17,"Q"),COUNTIF('August 2026'!C17:AG17,"Q"),COUNTIF('September 2026'!C17:AF17,"Q"),COUNTIF('October 2026'!C17:AG17,"Q"),COUNTIF('November 2026'!C17:AF17,"Q"),COUNTIF('December 2026'!C17:AG17,"Q"))</f>
        <v>1</v>
      </c>
      <c r="N15" s="9" t="n">
        <f aca="false">SUM(COUNTIF('January 2026'!C17:AG17,"I"),COUNTIF('February 2026'!C17:AD17,"I"),COUNTIF('March 2026'!C17:AG17,"I"),COUNTIF('April 2026'!C17:AF17,"I"),COUNTIF('May 2026'!C17:AG17,"I"),COUNTIF('June 2026'!C17:AF17,"I"),COUNTIF('July 2026'!C17:AG17,"I"),COUNTIF('August 2026'!C17:AG17,"I"),COUNTIF('September 2026'!C17:AF17,"I"),COUNTIF('October 2026'!C17:AG17,"I"),COUNTIF('November 2026'!C17:AF17,"I"),COUNTIF('December 2026'!C17:AG17,"I"))</f>
        <v>0</v>
      </c>
      <c r="O15" s="9" t="n">
        <f aca="false">SUM(COUNTIF('January 2026'!C17:AG17,"S"),COUNTIF('February 2026'!C17:AD17,"S"),COUNTIF('March 2026'!C17:AG17,"S"),COUNTIF('April 2026'!C17:AF17,"S"),COUNTIF('May 2026'!C17:AG17,"S"),COUNTIF('June 2026'!C17:AF17,"S"),COUNTIF('July 2026'!C17:AG17,"S"),COUNTIF('August 2026'!C17:AG17,"S"),COUNTIF('September 2026'!C17:AF17,"S"),COUNTIF('October 2026'!C17:AG17,"S"),COUNTIF('November 2026'!C17:AF17,"S"),COUNTIF('December 2026'!C17:AG17,"S"))</f>
        <v>2</v>
      </c>
      <c r="P15" s="9" t="n">
        <f aca="false">SUM(COUNTIF('January 2026'!C17:AG17,"M"),COUNTIF('February 2026'!C17:AD17,"M"),COUNTIF('March 2026'!C17:AG17,"M"),COUNTIF('April 2026'!C17:AF17,"M"),COUNTIF('May 2026'!C17:AG17,"M"),COUNTIF('June 2026'!C17:AF17,"M"),COUNTIF('July 2026'!C17:AG17,"M"),COUNTIF('August 2026'!C17:AG17,"M"),COUNTIF('September 2026'!C17:AF17,"M"),COUNTIF('October 2026'!C17:AG17,"M"),COUNTIF('November 2026'!C17:AF17,"M"),COUNTIF('December 2026'!C17:AG17,"M"))</f>
        <v>0</v>
      </c>
      <c r="Q15" s="9" t="n">
        <f aca="false">SUM(COUNTIF('January 2026'!C17:AG17,"C"),COUNTIF('February 2026'!C17:AD17,"C"),COUNTIF('March 2026'!C17:AG17,"C"),COUNTIF('April 2026'!C17:AF17,"C"),COUNTIF('May 2026'!C17:AG17,"C"),COUNTIF('June 2026'!C17:AF17,"C"),COUNTIF('July 2026'!C17:AG17,"C"),COUNTIF('August 2026'!C17:AG17,"C"),COUNTIF('September 2026'!C17:AF17,"C"),COUNTIF('October 2026'!C17:AG17,"C"),COUNTIF('November 2026'!C17:AF17,"C"),COUNTIF('December 2026'!C17:AG17,"C"))</f>
        <v>1</v>
      </c>
      <c r="R15" s="9" t="n">
        <f aca="false">SUM(COUNTIF('January 2026'!C17:AG17,"V"),COUNTIF('February 2026'!C17:AD17,"V"),COUNTIF('March 2026'!C17:AG17,"V"),COUNTIF('April 2026'!C17:AF17,"V"),COUNTIF('May 2026'!C17:AG17,"V"),COUNTIF('June 2026'!C17:AF17,"V"),COUNTIF('July 2026'!C17:AG17,"V"),COUNTIF('August 2026'!C17:AG17,"V"),COUNTIF('September 2026'!C17:AF17,"V"),COUNTIF('October 2026'!C17:AG17,"V"),COUNTIF('November 2026'!C17:AF17,"V"),COUNTIF('December 2026'!C17:AG17,"V"))</f>
        <v>5</v>
      </c>
      <c r="S15" s="9" t="n">
        <f aca="false">SUM(COUNTIF('January 2026'!C17:AG17,"A"),COUNTIF('February 2026'!C17:AD17,"A"),COUNTIF('March 2026'!C17:AG17,"A"),COUNTIF('April 2026'!C17:AF17,"A"),COUNTIF('May 2026'!C17:AG17,"A"),COUNTIF('June 2026'!C17:AF17,"A"),COUNTIF('July 2026'!C17:AG17,"A"),COUNTIF('August 2026'!C17:AG17,"A"),COUNTIF('September 2026'!C17:AF17,"A"),COUNTIF('October 2026'!C17:AG17,"A"),COUNTIF('November 2026'!C17:AF17,"A"),COUNTIF('December 2026'!C17:AG17,"A"))</f>
        <v>0</v>
      </c>
    </row>
    <row r="16" customFormat="false" ht="19.5" hidden="false" customHeight="true" outlineLevel="0" collapsed="false">
      <c r="A16" s="0" t="n">
        <v>19</v>
      </c>
      <c r="B16" s="8" t="str">
        <f aca="false">'January 2026'!B18</f>
        <v>Ethel Prempeh</v>
      </c>
      <c r="C16" s="9" t="n">
        <v>27</v>
      </c>
      <c r="D16" s="9"/>
      <c r="E16" s="9" t="n">
        <f aca="false">SUM(C16:D16)</f>
        <v>27</v>
      </c>
      <c r="G16" s="9" t="n">
        <f aca="false">SUM('January 2026'!AH18,'February 2026'!AE18,'March 2026'!AH18,'April 2026'!AG18,'May 2026'!AH18,'June 2026'!AG18,'July 2026'!AH18,'August 2026'!AH18,'September 2026'!AG18,'October 2026'!AH18,'November 2026'!AG18,'December 2026'!AH18)</f>
        <v>16.25</v>
      </c>
      <c r="H16" s="9" t="n">
        <f aca="false">E16-G16</f>
        <v>10.75</v>
      </c>
      <c r="J16" s="9" t="n">
        <v>12</v>
      </c>
      <c r="K16" s="9" t="n">
        <f aca="false">SUM(COUNTIF('January 2026'!C18:AG18,"H1"),COUNTIF('February 2026'!C18:AD18,"H1"),COUNTIF('March 2026'!C18:AG18,"H1"),COUNTIF('April 2026'!C18:AF18,"H1"),COUNTIF('May 2026'!C18:AG18,"H1"),COUNTIF('June 2026'!C18:AF18,"H1"),COUNTIF('July 2026'!C18:AG18,"H1"),COUNTIF('August 2026'!C18:AG18,"H1"),COUNTIF('September 2026'!C18:AF18,"H1"),COUNTIF('October 2026'!C18:AG18,"H1"),COUNTIF('November 2026'!C18:AF18,"H1"),COUNTIF('December 2026'!C18:AG18,"H1"))</f>
        <v>0</v>
      </c>
      <c r="L16" s="9" t="n">
        <f aca="false">SUM(COUNTIF('January 2026'!C18:AG18,"H2"),COUNTIF('February 2026'!C18:AD18,"H2"),COUNTIF('March 2026'!C18:AG18,"H2"),COUNTIF('April 2026'!C18:AF18,"H2"),COUNTIF('May 2026'!C18:AG18,"H2"),COUNTIF('June 2026'!C18:AF18,"H2"),COUNTIF('July 2026'!C18:AG18,"H2"),COUNTIF('August 2026'!C18:AG18,"H2"),COUNTIF('September 2026'!C18:AF18,"H2"),COUNTIF('October 2026'!C18:AG18,"H2"),COUNTIF('November 2026'!C18:AF18,"H2"),COUNTIF('December 2026'!C18:AG18,"H2"))</f>
        <v>0</v>
      </c>
      <c r="M16" s="9" t="n">
        <f aca="false">SUM(COUNTIF('January 2026'!C18:AG18,"Q"),COUNTIF('February 2026'!C18:AD18,"Q"),COUNTIF('March 2026'!C18:AG18,"Q"),COUNTIF('April 2026'!C18:AF18,"Q"),COUNTIF('May 2026'!C18:AG18,"Q"),COUNTIF('June 2026'!C18:AF18,"Q"),COUNTIF('July 2026'!C18:AG18,"Q"),COUNTIF('August 2026'!C18:AG18,"Q"),COUNTIF('September 2026'!C18:AF18,"Q"),COUNTIF('October 2026'!C18:AG18,"Q"),COUNTIF('November 2026'!C18:AF18,"Q"),COUNTIF('December 2026'!C18:AG18,"Q"))</f>
        <v>1</v>
      </c>
      <c r="N16" s="9" t="n">
        <f aca="false">SUM(COUNTIF('January 2026'!C18:AG18,"I"),COUNTIF('February 2026'!C18:AD18,"I"),COUNTIF('March 2026'!C18:AG18,"I"),COUNTIF('April 2026'!C18:AF18,"I"),COUNTIF('May 2026'!C18:AG18,"I"),COUNTIF('June 2026'!C18:AF18,"I"),COUNTIF('July 2026'!C18:AG18,"I"),COUNTIF('August 2026'!C18:AG18,"I"),COUNTIF('September 2026'!C18:AF18,"I"),COUNTIF('October 2026'!C18:AG18,"I"),COUNTIF('November 2026'!C18:AF18,"I"),COUNTIF('December 2026'!C18:AG18,"I"))</f>
        <v>0</v>
      </c>
      <c r="O16" s="9" t="n">
        <f aca="false">SUM(COUNTIF('January 2026'!C18:AG18,"S"),COUNTIF('February 2026'!C18:AD18,"S"),COUNTIF('March 2026'!C18:AG18,"S"),COUNTIF('April 2026'!C18:AF18,"S"),COUNTIF('May 2026'!C18:AG18,"S"),COUNTIF('June 2026'!C18:AF18,"S"),COUNTIF('July 2026'!C18:AG18,"S"),COUNTIF('August 2026'!C18:AG18,"S"),COUNTIF('September 2026'!C18:AF18,"S"),COUNTIF('October 2026'!C18:AG18,"S"),COUNTIF('November 2026'!C18:AF18,"S"),COUNTIF('December 2026'!C18:AG18,"S"))</f>
        <v>0</v>
      </c>
      <c r="P16" s="9" t="n">
        <f aca="false">SUM(COUNTIF('January 2026'!C18:AG18,"M"),COUNTIF('February 2026'!C18:AD18,"M"),COUNTIF('March 2026'!C18:AG18,"M"),COUNTIF('April 2026'!C18:AF18,"M"),COUNTIF('May 2026'!C18:AG18,"M"),COUNTIF('June 2026'!C18:AF18,"M"),COUNTIF('July 2026'!C18:AG18,"M"),COUNTIF('August 2026'!C18:AG18,"M"),COUNTIF('September 2026'!C18:AF18,"M"),COUNTIF('October 2026'!C18:AG18,"M"),COUNTIF('November 2026'!C18:AF18,"M"),COUNTIF('December 2026'!C18:AG18,"M"))</f>
        <v>0</v>
      </c>
      <c r="Q16" s="9" t="n">
        <f aca="false">SUM(COUNTIF('January 2026'!C18:AG18,"C"),COUNTIF('February 2026'!C18:AD18,"C"),COUNTIF('March 2026'!C18:AG18,"C"),COUNTIF('April 2026'!C18:AF18,"C"),COUNTIF('May 2026'!C18:AG18,"C"),COUNTIF('June 2026'!C18:AF18,"C"),COUNTIF('July 2026'!C18:AG18,"C"),COUNTIF('August 2026'!C18:AG18,"C"),COUNTIF('September 2026'!C18:AF18,"C"),COUNTIF('October 2026'!C18:AG18,"C"),COUNTIF('November 2026'!C18:AF18,"C"),COUNTIF('December 2026'!C18:AG18,"C"))</f>
        <v>0</v>
      </c>
      <c r="R16" s="9" t="n">
        <f aca="false">SUM(COUNTIF('January 2026'!C18:AG18,"V"),COUNTIF('February 2026'!C18:AD18,"V"),COUNTIF('March 2026'!C18:AG18,"V"),COUNTIF('April 2026'!C18:AF18,"V"),COUNTIF('May 2026'!C18:AG18,"V"),COUNTIF('June 2026'!C18:AF18,"V"),COUNTIF('July 2026'!C18:AG18,"V"),COUNTIF('August 2026'!C18:AG18,"V"),COUNTIF('September 2026'!C18:AF18,"V"),COUNTIF('October 2026'!C18:AG18,"V"),COUNTIF('November 2026'!C18:AF18,"V"),COUNTIF('December 2026'!C18:AG18,"V"))</f>
        <v>3</v>
      </c>
      <c r="S16" s="9" t="n">
        <f aca="false">SUM(COUNTIF('January 2026'!C18:AG18,"A"),COUNTIF('February 2026'!C18:AD18,"A"),COUNTIF('March 2026'!C18:AG18,"A"),COUNTIF('April 2026'!C18:AF18,"A"),COUNTIF('May 2026'!C18:AG18,"A"),COUNTIF('June 2026'!C18:AF18,"A"),COUNTIF('July 2026'!C18:AG18,"A"),COUNTIF('August 2026'!C18:AG18,"A"),COUNTIF('September 2026'!C18:AF18,"A"),COUNTIF('October 2026'!C18:AG18,"A"),COUNTIF('November 2026'!C18:AF18,"A"),COUNTIF('December 2026'!C18:AG18,"A"))</f>
        <v>0</v>
      </c>
    </row>
    <row r="17" customFormat="false" ht="19.5" hidden="false" customHeight="true" outlineLevel="0" collapsed="false">
      <c r="A17" s="0" t="n">
        <v>20</v>
      </c>
      <c r="B17" s="8" t="str">
        <f aca="false">'January 2026'!B19</f>
        <v>Isaac Appiah</v>
      </c>
      <c r="C17" s="9" t="n">
        <v>27</v>
      </c>
      <c r="D17" s="9"/>
      <c r="E17" s="9" t="n">
        <f aca="false">SUM(C17:D17)</f>
        <v>27</v>
      </c>
      <c r="G17" s="9" t="n">
        <f aca="false">SUM('January 2026'!AH19,'February 2026'!AE19,'March 2026'!AH19,'April 2026'!AG19,'May 2026'!AH19,'June 2026'!AG19,'July 2026'!AH19,'August 2026'!AH19,'September 2026'!AG19,'October 2026'!AH19,'November 2026'!AG19,'December 2026'!AH19)</f>
        <v>15.75</v>
      </c>
      <c r="H17" s="9" t="n">
        <f aca="false">E17-G17</f>
        <v>11.25</v>
      </c>
      <c r="J17" s="9" t="n">
        <v>12</v>
      </c>
      <c r="K17" s="9" t="n">
        <f aca="false">SUM(COUNTIF('January 2026'!C19:AG19,"H1"),COUNTIF('February 2026'!C19:AD19,"H1"),COUNTIF('March 2026'!C19:AG19,"H1"),COUNTIF('April 2026'!C19:AF19,"H1"),COUNTIF('May 2026'!C19:AG19,"H1"),COUNTIF('June 2026'!C19:AF19,"H1"),COUNTIF('July 2026'!C19:AG19,"H1"),COUNTIF('August 2026'!C19:AG19,"H1"),COUNTIF('September 2026'!C19:AF19,"H1"),COUNTIF('October 2026'!C19:AG19,"H1"),COUNTIF('November 2026'!C19:AF19,"H1"),COUNTIF('December 2026'!C19:AG19,"H1"))</f>
        <v>0</v>
      </c>
      <c r="L17" s="9" t="n">
        <f aca="false">SUM(COUNTIF('January 2026'!C19:AG19,"H2"),COUNTIF('February 2026'!C19:AD19,"H2"),COUNTIF('March 2026'!C19:AG19,"H2"),COUNTIF('April 2026'!C19:AF19,"H2"),COUNTIF('May 2026'!C19:AG19,"H2"),COUNTIF('June 2026'!C19:AF19,"H2"),COUNTIF('July 2026'!C19:AG19,"H2"),COUNTIF('August 2026'!C19:AG19,"H2"),COUNTIF('September 2026'!C19:AF19,"H2"),COUNTIF('October 2026'!C19:AG19,"H2"),COUNTIF('November 2026'!C19:AF19,"H2"),COUNTIF('December 2026'!C19:AG19,"H2"))</f>
        <v>0</v>
      </c>
      <c r="M17" s="9" t="n">
        <f aca="false">SUM(COUNTIF('January 2026'!C19:AG19,"Q"),COUNTIF('February 2026'!C19:AD19,"Q"),COUNTIF('March 2026'!C19:AG19,"Q"),COUNTIF('April 2026'!C19:AF19,"Q"),COUNTIF('May 2026'!C19:AG19,"Q"),COUNTIF('June 2026'!C19:AF19,"Q"),COUNTIF('July 2026'!C19:AG19,"Q"),COUNTIF('August 2026'!C19:AG19,"Q"),COUNTIF('September 2026'!C19:AF19,"Q"),COUNTIF('October 2026'!C19:AG19,"Q"),COUNTIF('November 2026'!C19:AF19,"Q"),COUNTIF('December 2026'!C19:AG19,"Q"))</f>
        <v>3</v>
      </c>
      <c r="N17" s="9" t="n">
        <f aca="false">SUM(COUNTIF('January 2026'!C19:AG19,"I"),COUNTIF('February 2026'!C19:AD19,"I"),COUNTIF('March 2026'!C19:AG19,"I"),COUNTIF('April 2026'!C19:AF19,"I"),COUNTIF('May 2026'!C19:AG19,"I"),COUNTIF('June 2026'!C19:AF19,"I"),COUNTIF('July 2026'!C19:AG19,"I"),COUNTIF('August 2026'!C19:AG19,"I"),COUNTIF('September 2026'!C19:AF19,"I"),COUNTIF('October 2026'!C19:AG19,"I"),COUNTIF('November 2026'!C19:AF19,"I"),COUNTIF('December 2026'!C19:AG19,"I"))</f>
        <v>0</v>
      </c>
      <c r="O17" s="9" t="n">
        <f aca="false">SUM(COUNTIF('January 2026'!C19:AG19,"S"),COUNTIF('February 2026'!C19:AD19,"S"),COUNTIF('March 2026'!C19:AG19,"S"),COUNTIF('April 2026'!C19:AF19,"S"),COUNTIF('May 2026'!C19:AG19,"S"),COUNTIF('June 2026'!C19:AF19,"S"),COUNTIF('July 2026'!C19:AG19,"S"),COUNTIF('August 2026'!C19:AG19,"S"),COUNTIF('September 2026'!C19:AF19,"S"),COUNTIF('October 2026'!C19:AG19,"S"),COUNTIF('November 2026'!C19:AF19,"S"),COUNTIF('December 2026'!C19:AG19,"S"))</f>
        <v>5</v>
      </c>
      <c r="P17" s="9" t="n">
        <f aca="false">SUM(COUNTIF('January 2026'!C19:AG19,"M"),COUNTIF('February 2026'!C19:AD19,"M"),COUNTIF('March 2026'!C19:AG19,"M"),COUNTIF('April 2026'!C19:AF19,"M"),COUNTIF('May 2026'!C19:AG19,"M"),COUNTIF('June 2026'!C19:AF19,"M"),COUNTIF('July 2026'!C19:AG19,"M"),COUNTIF('August 2026'!C19:AG19,"M"),COUNTIF('September 2026'!C19:AF19,"M"),COUNTIF('October 2026'!C19:AG19,"M"),COUNTIF('November 2026'!C19:AF19,"M"),COUNTIF('December 2026'!C19:AG19,"M"))</f>
        <v>0</v>
      </c>
      <c r="Q17" s="9" t="n">
        <f aca="false">SUM(COUNTIF('January 2026'!C19:AG19,"C"),COUNTIF('February 2026'!C19:AD19,"C"),COUNTIF('March 2026'!C19:AG19,"C"),COUNTIF('April 2026'!C19:AF19,"C"),COUNTIF('May 2026'!C19:AG19,"C"),COUNTIF('June 2026'!C19:AF19,"C"),COUNTIF('July 2026'!C19:AG19,"C"),COUNTIF('August 2026'!C19:AG19,"C"),COUNTIF('September 2026'!C19:AF19,"C"),COUNTIF('October 2026'!C19:AG19,"C"),COUNTIF('November 2026'!C19:AF19,"C"),COUNTIF('December 2026'!C19:AG19,"C"))</f>
        <v>5</v>
      </c>
      <c r="R17" s="9" t="n">
        <f aca="false">SUM(COUNTIF('January 2026'!C19:AG19,"V"),COUNTIF('February 2026'!C19:AD19,"V"),COUNTIF('March 2026'!C19:AG19,"V"),COUNTIF('April 2026'!C19:AF19,"V"),COUNTIF('May 2026'!C19:AG19,"V"),COUNTIF('June 2026'!C19:AF19,"V"),COUNTIF('July 2026'!C19:AG19,"V"),COUNTIF('August 2026'!C19:AG19,"V"),COUNTIF('September 2026'!C19:AF19,"V"),COUNTIF('October 2026'!C19:AG19,"V"),COUNTIF('November 2026'!C19:AF19,"V"),COUNTIF('December 2026'!C19:AG19,"V"))</f>
        <v>2</v>
      </c>
      <c r="S17" s="9" t="n">
        <f aca="false">SUM(COUNTIF('January 2026'!C19:AG19,"A"),COUNTIF('February 2026'!C19:AD19,"A"),COUNTIF('March 2026'!C19:AG19,"A"),COUNTIF('April 2026'!C19:AF19,"A"),COUNTIF('May 2026'!C19:AG19,"A"),COUNTIF('June 2026'!C19:AF19,"A"),COUNTIF('July 2026'!C19:AG19,"A"),COUNTIF('August 2026'!C19:AG19,"A"),COUNTIF('September 2026'!C19:AF19,"A"),COUNTIF('October 2026'!C19:AG19,"A"),COUNTIF('November 2026'!C19:AF19,"A"),COUNTIF('December 2026'!C19:AG19,"A"))</f>
        <v>0</v>
      </c>
    </row>
    <row r="18" customFormat="false" ht="19.5" hidden="false" customHeight="true" outlineLevel="0" collapsed="false">
      <c r="A18" s="0" t="n">
        <v>21</v>
      </c>
      <c r="B18" s="8" t="s">
        <v>79</v>
      </c>
      <c r="C18" s="9" t="n">
        <v>17</v>
      </c>
      <c r="D18" s="9"/>
      <c r="E18" s="9" t="n">
        <f aca="false">SUM(C18:D18)</f>
        <v>17</v>
      </c>
      <c r="G18" s="9" t="n">
        <f aca="false">SUM('January 2026'!AH20,'February 2026'!AE20,'March 2026'!AH20,'April 2026'!AG20,'May 2026'!AH20,'June 2026'!AG20,'July 2026'!AH20,'August 2026'!AH20,'September 2026'!AG20,'October 2026'!AH20,'November 2026'!AG20,'December 2026'!AH20)</f>
        <v>8.25</v>
      </c>
      <c r="H18" s="9" t="n">
        <f aca="false">E18-G18</f>
        <v>8.75</v>
      </c>
      <c r="J18" s="9" t="n">
        <f aca="false">SUM(COUNTIF('January 2026'!C20:AG20,"H"),COUNTIF('February 2026'!C20:AD20,"H"),COUNTIF('March 2026'!C20:AG20,"H"),COUNTIF('April 2026'!C20:AF20,"H"),COUNTIF('May 2026'!C20:AG20,"H"),COUNTIF('June 2026'!C20:AF20,"H"),COUNTIF('July 2026'!C20:AG20,"H"),COUNTIF('August 2026'!C20:AG20,"H"),COUNTIF('September 2026'!C20:AF20,"H"),COUNTIF('October 2026'!C20:AG20,"H"),COUNTIF('November 2026'!C20:AF20,"H"),COUNTIF('December 2026'!C20:AG20,"H"))</f>
        <v>7</v>
      </c>
      <c r="K18" s="9" t="n">
        <f aca="false">SUM(COUNTIF('January 2026'!C20:AG20,"H1"),COUNTIF('February 2026'!C20:AD20,"H1"),COUNTIF('March 2026'!C20:AG20,"H1"),COUNTIF('April 2026'!C20:AF20,"H1"),COUNTIF('May 2026'!C20:AG20,"H1"),COUNTIF('June 2026'!C20:AF20,"H1"),COUNTIF('July 2026'!C20:AG20,"H1"),COUNTIF('August 2026'!C20:AG20,"H1"),COUNTIF('September 2026'!C20:AF20,"H1"),COUNTIF('October 2026'!C20:AG20,"H1"),COUNTIF('November 2026'!C20:AF20,"H1"),COUNTIF('December 2026'!C20:AG20,"H1"))</f>
        <v>0</v>
      </c>
      <c r="L18" s="9" t="n">
        <f aca="false">SUM(COUNTIF('January 2026'!C20:AG20,"H2"),COUNTIF('February 2026'!C20:AD20,"H2"),COUNTIF('March 2026'!C20:AG20,"H2"),COUNTIF('April 2026'!C20:AF20,"H2"),COUNTIF('May 2026'!C20:AG20,"H2"),COUNTIF('June 2026'!C20:AF20,"H2"),COUNTIF('July 2026'!C20:AG20,"H2"),COUNTIF('August 2026'!C20:AG20,"H2"),COUNTIF('September 2026'!C20:AF20,"H2"),COUNTIF('October 2026'!C20:AG20,"H2"),COUNTIF('November 2026'!C20:AF20,"H2"),COUNTIF('December 2026'!C20:AG20,"H2"))</f>
        <v>0</v>
      </c>
      <c r="M18" s="9" t="n">
        <f aca="false">SUM(COUNTIF('January 2026'!C20:AG20,"Q"),COUNTIF('February 2026'!C20:AD20,"Q"),COUNTIF('March 2026'!C20:AG20,"Q"),COUNTIF('April 2026'!C20:AF20,"Q"),COUNTIF('May 2026'!C20:AG20,"Q"),COUNTIF('June 2026'!C20:AF20,"Q"),COUNTIF('July 2026'!C20:AG20,"Q"),COUNTIF('August 2026'!C20:AG20,"Q"),COUNTIF('September 2026'!C20:AF20,"Q"),COUNTIF('October 2026'!C20:AG20,"Q"),COUNTIF('November 2026'!C20:AF20,"Q"),COUNTIF('December 2026'!C20:AG20,"Q"))</f>
        <v>1</v>
      </c>
      <c r="N18" s="9" t="n">
        <f aca="false">SUM(COUNTIF('January 2026'!C20:AG20,"I"),COUNTIF('February 2026'!C20:AD20,"I"),COUNTIF('March 2026'!C20:AG20,"I"),COUNTIF('April 2026'!C20:AF20,"I"),COUNTIF('May 2026'!C20:AG20,"I"),COUNTIF('June 2026'!C20:AF20,"I"),COUNTIF('July 2026'!C20:AG20,"I"),COUNTIF('August 2026'!C20:AG20,"I"),COUNTIF('September 2026'!C20:AF20,"I"),COUNTIF('October 2026'!C20:AG20,"I"),COUNTIF('November 2026'!C20:AF20,"I"),COUNTIF('December 2026'!C20:AG20,"I"))</f>
        <v>0</v>
      </c>
      <c r="O18" s="9" t="n">
        <f aca="false">SUM(COUNTIF('January 2026'!C20:AG20,"S"),COUNTIF('February 2026'!C20:AD20,"S"),COUNTIF('March 2026'!C20:AG20,"S"),COUNTIF('April 2026'!C20:AF20,"S"),COUNTIF('May 2026'!C20:AG20,"S"),COUNTIF('June 2026'!C20:AF20,"S"),COUNTIF('July 2026'!C20:AG20,"S"),COUNTIF('August 2026'!C20:AG20,"S"),COUNTIF('September 2026'!C20:AF20,"S"),COUNTIF('October 2026'!C20:AG20,"S"),COUNTIF('November 2026'!C20:AF20,"S"),COUNTIF('December 2026'!C20:AG20,"S"))</f>
        <v>3</v>
      </c>
      <c r="P18" s="9" t="n">
        <f aca="false">SUM(COUNTIF('January 2026'!C20:AG20,"M"),COUNTIF('February 2026'!C20:AD20,"M"),COUNTIF('March 2026'!C20:AG20,"M"),COUNTIF('April 2026'!C20:AF20,"M"),COUNTIF('May 2026'!C20:AG20,"M"),COUNTIF('June 2026'!C20:AF20,"M"),COUNTIF('July 2026'!C20:AG20,"M"),COUNTIF('August 2026'!C20:AG20,"M"),COUNTIF('September 2026'!C20:AF20,"M"),COUNTIF('October 2026'!C20:AG20,"M"),COUNTIF('November 2026'!C20:AF20,"M"),COUNTIF('December 2026'!C20:AG20,"M"))</f>
        <v>0</v>
      </c>
      <c r="Q18" s="9" t="n">
        <f aca="false">SUM(COUNTIF('January 2026'!C20:AG20,"C"),COUNTIF('February 2026'!C20:AD20,"C"),COUNTIF('March 2026'!C20:AG20,"C"),COUNTIF('April 2026'!C20:AF20,"C"),COUNTIF('May 2026'!C20:AG20,"C"),COUNTIF('June 2026'!C20:AF20,"C"),COUNTIF('July 2026'!C20:AG20,"C"),COUNTIF('August 2026'!C20:AG20,"C"),COUNTIF('September 2026'!C20:AF20,"C"),COUNTIF('October 2026'!C20:AG20,"C"),COUNTIF('November 2026'!C20:AF20,"C"),COUNTIF('December 2026'!C20:AG20,"C"))</f>
        <v>0</v>
      </c>
      <c r="R18" s="9" t="n">
        <f aca="false">SUM(COUNTIF('January 2026'!C20:AG20,"V"),COUNTIF('February 2026'!C20:AD20,"V"),COUNTIF('March 2026'!C20:AG20,"V"),COUNTIF('April 2026'!C20:AF20,"V"),COUNTIF('May 2026'!C20:AG20,"V"),COUNTIF('June 2026'!C20:AF20,"V"),COUNTIF('July 2026'!C20:AG20,"V"),COUNTIF('August 2026'!C20:AG20,"V"),COUNTIF('September 2026'!C20:AF20,"V"),COUNTIF('October 2026'!C20:AG20,"V"),COUNTIF('November 2026'!C20:AF20,"V"),COUNTIF('December 2026'!C20:AG20,"V"))</f>
        <v>1</v>
      </c>
      <c r="S18" s="9" t="n">
        <f aca="false">SUM(COUNTIF('January 2026'!C20:AG20,"A"),COUNTIF('February 2026'!C20:AD20,"A"),COUNTIF('March 2026'!C20:AG20,"A"),COUNTIF('April 2026'!C20:AF20,"A"),COUNTIF('May 2026'!C20:AG20,"A"),COUNTIF('June 2026'!C20:AF20,"A"),COUNTIF('July 2026'!C20:AG20,"A"),COUNTIF('August 2026'!C20:AG20,"A"),COUNTIF('September 2026'!C20:AF20,"A"),COUNTIF('October 2026'!C20:AG20,"A"),COUNTIF('November 2026'!C20:AF20,"A"),COUNTIF('December 2026'!C20:AG20,"A"))</f>
        <v>0</v>
      </c>
    </row>
    <row r="19" customFormat="false" ht="19.5" hidden="false" customHeight="true" outlineLevel="0" collapsed="false">
      <c r="B19" s="8" t="n">
        <f aca="false">'January 2026'!B21</f>
        <v>0</v>
      </c>
      <c r="C19" s="9"/>
      <c r="D19" s="9"/>
      <c r="E19" s="9" t="n">
        <f aca="false">SUM(C19:D19)</f>
        <v>0</v>
      </c>
      <c r="G19" s="9" t="n">
        <f aca="false">SUM('January 2026'!AH21,'February 2026'!AE21,'March 2026'!AH21,'April 2026'!AG21,'May 2026'!AH21,'June 2026'!AG21,'July 2026'!AH21,'August 2026'!AH21,'September 2026'!AG21,'October 2026'!AH21,'November 2026'!AG21,'December 2026'!AH21)</f>
        <v>1</v>
      </c>
      <c r="H19" s="9" t="n">
        <f aca="false">E19-G19</f>
        <v>-1</v>
      </c>
      <c r="J19" s="9" t="n">
        <f aca="false">SUM(COUNTIF('January 2026'!C21:AG21,"H"),COUNTIF('February 2026'!C21:AD21,"H"),COUNTIF('March 2026'!C21:AG21,"H"),COUNTIF('April 2026'!C21:AF21,"H"),COUNTIF('May 2026'!C21:AG21,"H"),COUNTIF('June 2026'!C21:AF21,"H"),COUNTIF('July 2026'!C21:AG21,"H"),COUNTIF('August 2026'!C21:AG21,"H"),COUNTIF('September 2026'!C21:AF21,"H"),COUNTIF('October 2026'!C21:AG21,"H"),COUNTIF('November 2026'!C21:AF21,"H"),COUNTIF('December 2026'!C21:AG21,"H"))</f>
        <v>0</v>
      </c>
      <c r="K19" s="9" t="n">
        <f aca="false">SUM(COUNTIF('January 2026'!C21:AG21,"H1"),COUNTIF('February 2026'!C21:AD21,"H1"),COUNTIF('March 2026'!C21:AG21,"H1"),COUNTIF('April 2026'!C21:AF21,"H1"),COUNTIF('May 2026'!C21:AG21,"H1"),COUNTIF('June 2026'!C21:AF21,"H1"),COUNTIF('July 2026'!C21:AG21,"H1"),COUNTIF('August 2026'!C21:AG21,"H1"),COUNTIF('September 2026'!C21:AF21,"H1"),COUNTIF('October 2026'!C21:AG21,"H1"),COUNTIF('November 2026'!C21:AF21,"H1"),COUNTIF('December 2026'!C21:AG21,"H1"))</f>
        <v>0</v>
      </c>
      <c r="L19" s="9" t="n">
        <f aca="false">SUM(COUNTIF('January 2026'!C21:AG21,"H2"),COUNTIF('February 2026'!C21:AD21,"H2"),COUNTIF('March 2026'!C21:AG21,"H2"),COUNTIF('April 2026'!C21:AF21,"H2"),COUNTIF('May 2026'!C21:AG21,"H2"),COUNTIF('June 2026'!C21:AF21,"H2"),COUNTIF('July 2026'!C21:AG21,"H2"),COUNTIF('August 2026'!C21:AG21,"H2"),COUNTIF('September 2026'!C21:AF21,"H2"),COUNTIF('October 2026'!C21:AG21,"H2"),COUNTIF('November 2026'!C21:AF21,"H2"),COUNTIF('December 2026'!C21:AG21,"H2"))</f>
        <v>0</v>
      </c>
      <c r="M19" s="9" t="n">
        <f aca="false">SUM(COUNTIF('January 2026'!C21:AG21,"Q"),COUNTIF('February 2026'!C21:AD21,"Q"),COUNTIF('March 2026'!C21:AG21,"Q"),COUNTIF('April 2026'!C21:AF21,"Q"),COUNTIF('May 2026'!C21:AG21,"Q"),COUNTIF('June 2026'!C21:AF21,"Q"),COUNTIF('July 2026'!C21:AG21,"Q"),COUNTIF('August 2026'!C21:AG21,"Q"),COUNTIF('September 2026'!C21:AF21,"Q"),COUNTIF('October 2026'!C21:AG21,"Q"),COUNTIF('November 2026'!C21:AF21,"Q"),COUNTIF('December 2026'!C21:AG21,"Q"))</f>
        <v>0</v>
      </c>
      <c r="N19" s="9" t="n">
        <f aca="false">SUM(COUNTIF('January 2026'!C21:AG21,"I"),COUNTIF('February 2026'!C21:AD21,"I"),COUNTIF('March 2026'!C21:AG21,"I"),COUNTIF('April 2026'!C21:AF21,"I"),COUNTIF('May 2026'!C21:AG21,"I"),COUNTIF('June 2026'!C21:AF21,"I"),COUNTIF('July 2026'!C21:AG21,"I"),COUNTIF('August 2026'!C21:AG21,"I"),COUNTIF('September 2026'!C21:AF21,"I"),COUNTIF('October 2026'!C21:AG21,"I"),COUNTIF('November 2026'!C21:AF21,"I"),COUNTIF('December 2026'!C21:AG21,"I"))</f>
        <v>0</v>
      </c>
      <c r="O19" s="9" t="n">
        <f aca="false">SUM(COUNTIF('January 2026'!C21:AG21,"S"),COUNTIF('February 2026'!C21:AD21,"S"),COUNTIF('March 2026'!C21:AG21,"S"),COUNTIF('April 2026'!C21:AF21,"S"),COUNTIF('May 2026'!C21:AG21,"S"),COUNTIF('June 2026'!C21:AF21,"S"),COUNTIF('July 2026'!C21:AG21,"S"),COUNTIF('August 2026'!C21:AG21,"S"),COUNTIF('September 2026'!C21:AF21,"S"),COUNTIF('October 2026'!C21:AG21,"S"),COUNTIF('November 2026'!C21:AF21,"S"),COUNTIF('December 2026'!C21:AG21,"S"))</f>
        <v>5</v>
      </c>
      <c r="P19" s="9" t="n">
        <f aca="false">SUM(COUNTIF('January 2026'!C21:AG21,"M"),COUNTIF('February 2026'!C21:AD21,"M"),COUNTIF('March 2026'!C21:AG21,"M"),COUNTIF('April 2026'!C21:AF21,"M"),COUNTIF('May 2026'!C21:AG21,"M"),COUNTIF('June 2026'!C21:AF21,"M"),COUNTIF('July 2026'!C21:AG21,"M"),COUNTIF('August 2026'!C21:AG21,"M"),COUNTIF('September 2026'!C21:AF21,"M"),COUNTIF('October 2026'!C21:AG21,"M"),COUNTIF('November 2026'!C21:AF21,"M"),COUNTIF('December 2026'!C21:AG21,"M"))</f>
        <v>1</v>
      </c>
      <c r="Q19" s="9" t="n">
        <f aca="false">SUM(COUNTIF('January 2026'!C21:AG21,"C"),COUNTIF('February 2026'!C21:AD21,"C"),COUNTIF('March 2026'!C21:AG21,"C"),COUNTIF('April 2026'!C21:AF21,"C"),COUNTIF('May 2026'!C21:AG21,"C"),COUNTIF('June 2026'!C21:AF21,"C"),COUNTIF('July 2026'!C21:AG21,"C"),COUNTIF('August 2026'!C21:AG21,"C"),COUNTIF('September 2026'!C21:AF21,"C"),COUNTIF('October 2026'!C21:AG21,"C"),COUNTIF('November 2026'!C21:AF21,"C"),COUNTIF('December 2026'!C21:AG21,"C"))</f>
        <v>0</v>
      </c>
      <c r="R19" s="9" t="n">
        <f aca="false">SUM(COUNTIF('January 2026'!C21:AG21,"V"),COUNTIF('February 2026'!C21:AD21,"V"),COUNTIF('March 2026'!C21:AG21,"V"),COUNTIF('April 2026'!C21:AF21,"V"),COUNTIF('May 2026'!C21:AG21,"V"),COUNTIF('June 2026'!C21:AF21,"V"),COUNTIF('July 2026'!C21:AG21,"V"),COUNTIF('August 2026'!C21:AG21,"V"),COUNTIF('September 2026'!C21:AF21,"V"),COUNTIF('October 2026'!C21:AG21,"V"),COUNTIF('November 2026'!C21:AF21,"V"),COUNTIF('December 2026'!C21:AG21,"V"))</f>
        <v>0</v>
      </c>
      <c r="S19" s="9" t="n">
        <f aca="false">SUM(COUNTIF('January 2026'!C21:AG21,"A"),COUNTIF('February 2026'!C21:AD21,"A"),COUNTIF('March 2026'!C21:AG21,"A"),COUNTIF('April 2026'!C21:AF21,"A"),COUNTIF('May 2026'!C21:AG21,"A"),COUNTIF('June 2026'!C21:AF21,"A"),COUNTIF('July 2026'!C21:AG21,"A"),COUNTIF('August 2026'!C21:AG21,"A"),COUNTIF('September 2026'!C21:AF21,"A"),COUNTIF('October 2026'!C21:AG21,"A"),COUNTIF('November 2026'!C21:AF21,"A"),COUNTIF('December 2026'!C21:AG21,"A"))</f>
        <v>0</v>
      </c>
    </row>
    <row r="20" customFormat="false" ht="19.5" hidden="false" customHeight="true" outlineLevel="0" collapsed="false">
      <c r="B20" s="8" t="n">
        <f aca="false">'January 2026'!B22</f>
        <v>0</v>
      </c>
      <c r="C20" s="9"/>
      <c r="D20" s="9"/>
      <c r="E20" s="9" t="n">
        <f aca="false">SUM(C20:D20)</f>
        <v>0</v>
      </c>
      <c r="G20" s="9" t="n">
        <f aca="false">SUM('January 2026'!AH22,'February 2026'!AE22,'March 2026'!AH22,'April 2026'!AG22,'May 2026'!AH22,'June 2026'!AG22,'July 2026'!AH22,'August 2026'!AH22,'September 2026'!AG22,'October 2026'!AH22,'November 2026'!AG22,'December 2026'!AH22)</f>
        <v>0</v>
      </c>
      <c r="H20" s="9" t="n">
        <f aca="false">E20-G20</f>
        <v>0</v>
      </c>
      <c r="J20" s="9" t="n">
        <f aca="false">SUM(COUNTIF('January 2026'!C22:AG22,"H"),COUNTIF('February 2026'!C22:AD22,"H"),COUNTIF('March 2026'!C22:AG22,"H"),COUNTIF('April 2026'!C22:AF22,"H"),COUNTIF('May 2026'!C22:AG22,"H"),COUNTIF('June 2026'!C22:AF22,"H"),COUNTIF('July 2026'!C22:AG22,"H"),COUNTIF('August 2026'!C22:AG22,"H"),COUNTIF('September 2026'!C22:AF22,"H"),COUNTIF('October 2026'!C22:AG22,"H"),COUNTIF('November 2026'!C22:AF22,"H"),COUNTIF('December 2026'!C22:AG22,"H"))</f>
        <v>0</v>
      </c>
      <c r="K20" s="9" t="n">
        <f aca="false">SUM(COUNTIF('January 2026'!C22:AG22,"H1"),COUNTIF('February 2026'!C22:AD22,"H1"),COUNTIF('March 2026'!C22:AG22,"H1"),COUNTIF('April 2026'!C22:AF22,"H1"),COUNTIF('May 2026'!C22:AG22,"H1"),COUNTIF('June 2026'!C22:AF22,"H1"),COUNTIF('July 2026'!C22:AG22,"H1"),COUNTIF('August 2026'!C22:AG22,"H1"),COUNTIF('September 2026'!C22:AF22,"H1"),COUNTIF('October 2026'!C22:AG22,"H1"),COUNTIF('November 2026'!C22:AF22,"H1"),COUNTIF('December 2026'!C22:AG22,"H1"))</f>
        <v>0</v>
      </c>
      <c r="L20" s="9" t="n">
        <f aca="false">SUM(COUNTIF('January 2026'!C22:AG22,"H2"),COUNTIF('February 2026'!C22:AD22,"H2"),COUNTIF('March 2026'!C22:AG22,"H2"),COUNTIF('April 2026'!C22:AF22,"H2"),COUNTIF('May 2026'!C22:AG22,"H2"),COUNTIF('June 2026'!C22:AF22,"H2"),COUNTIF('July 2026'!C22:AG22,"H2"),COUNTIF('August 2026'!C22:AG22,"H2"),COUNTIF('September 2026'!C22:AF22,"H2"),COUNTIF('October 2026'!C22:AG22,"H2"),COUNTIF('November 2026'!C22:AF22,"H2"),COUNTIF('December 2026'!C22:AG22,"H2"))</f>
        <v>0</v>
      </c>
      <c r="M20" s="9" t="n">
        <f aca="false">SUM(COUNTIF('January 2026'!C22:AG22,"Q"),COUNTIF('February 2026'!C22:AD22,"Q"),COUNTIF('March 2026'!C22:AG22,"Q"),COUNTIF('April 2026'!C22:AF22,"Q"),COUNTIF('May 2026'!C22:AG22,"Q"),COUNTIF('June 2026'!C22:AF22,"Q"),COUNTIF('July 2026'!C22:AG22,"Q"),COUNTIF('August 2026'!C22:AG22,"Q"),COUNTIF('September 2026'!C22:AF22,"Q"),COUNTIF('October 2026'!C22:AG22,"Q"),COUNTIF('November 2026'!C22:AF22,"Q"),COUNTIF('December 2026'!C22:AG22,"Q"))</f>
        <v>0</v>
      </c>
      <c r="N20" s="9" t="n">
        <f aca="false">SUM(COUNTIF('January 2026'!C22:AG22,"I"),COUNTIF('February 2026'!C22:AD22,"I"),COUNTIF('March 2026'!C22:AG22,"I"),COUNTIF('April 2026'!C22:AF22,"I"),COUNTIF('May 2026'!C22:AG22,"I"),COUNTIF('June 2026'!C22:AF22,"I"),COUNTIF('July 2026'!C22:AG22,"I"),COUNTIF('August 2026'!C22:AG22,"I"),COUNTIF('September 2026'!C22:AF22,"I"),COUNTIF('October 2026'!C22:AG22,"I"),COUNTIF('November 2026'!C22:AF22,"I"),COUNTIF('December 2026'!C22:AG22,"I"))</f>
        <v>0</v>
      </c>
      <c r="O20" s="9" t="n">
        <f aca="false">SUM(COUNTIF('January 2026'!C22:AG22,"S"),COUNTIF('February 2026'!C22:AD22,"S"),COUNTIF('March 2026'!C22:AG22,"S"),COUNTIF('April 2026'!C22:AF22,"S"),COUNTIF('May 2026'!C22:AG22,"S"),COUNTIF('June 2026'!C22:AF22,"S"),COUNTIF('July 2026'!C22:AG22,"S"),COUNTIF('August 2026'!C22:AG22,"S"),COUNTIF('September 2026'!C22:AF22,"S"),COUNTIF('October 2026'!C22:AG22,"S"),COUNTIF('November 2026'!C22:AF22,"S"),COUNTIF('December 2026'!C22:AG22,"S"))</f>
        <v>0</v>
      </c>
      <c r="P20" s="9" t="n">
        <f aca="false">SUM(COUNTIF('January 2026'!C22:AG22,"M"),COUNTIF('February 2026'!C22:AD22,"M"),COUNTIF('March 2026'!C22:AG22,"M"),COUNTIF('April 2026'!C22:AF22,"M"),COUNTIF('May 2026'!C22:AG22,"M"),COUNTIF('June 2026'!C22:AF22,"M"),COUNTIF('July 2026'!C22:AG22,"M"),COUNTIF('August 2026'!C22:AG22,"M"),COUNTIF('September 2026'!C22:AF22,"M"),COUNTIF('October 2026'!C22:AG22,"M"),COUNTIF('November 2026'!C22:AF22,"M"),COUNTIF('December 2026'!C22:AG22,"M"))</f>
        <v>0</v>
      </c>
      <c r="Q20" s="9" t="n">
        <f aca="false">SUM(COUNTIF('January 2026'!C22:AG22,"C"),COUNTIF('February 2026'!C22:AD22,"C"),COUNTIF('March 2026'!C22:AG22,"C"),COUNTIF('April 2026'!C22:AF22,"C"),COUNTIF('May 2026'!C22:AG22,"C"),COUNTIF('June 2026'!C22:AF22,"C"),COUNTIF('July 2026'!C22:AG22,"C"),COUNTIF('August 2026'!C22:AG22,"C"),COUNTIF('September 2026'!C22:AF22,"C"),COUNTIF('October 2026'!C22:AG22,"C"),COUNTIF('November 2026'!C22:AF22,"C"),COUNTIF('December 2026'!C22:AG22,"C"))</f>
        <v>0</v>
      </c>
      <c r="R20" s="9" t="n">
        <f aca="false">SUM(COUNTIF('January 2026'!C22:AG22,"V"),COUNTIF('February 2026'!C22:AD22,"V"),COUNTIF('March 2026'!C22:AG22,"V"),COUNTIF('April 2026'!C22:AF22,"V"),COUNTIF('May 2026'!C22:AG22,"V"),COUNTIF('June 2026'!C22:AF22,"V"),COUNTIF('July 2026'!C22:AG22,"V"),COUNTIF('August 2026'!C22:AG22,"V"),COUNTIF('September 2026'!C22:AF22,"V"),COUNTIF('October 2026'!C22:AG22,"V"),COUNTIF('November 2026'!C22:AF22,"V"),COUNTIF('December 2026'!C22:AG22,"V"))</f>
        <v>0</v>
      </c>
      <c r="S20" s="9" t="n">
        <f aca="false">SUM(COUNTIF('January 2026'!C22:AG22,"A"),COUNTIF('February 2026'!C22:AD22,"A"),COUNTIF('March 2026'!C22:AG22,"A"),COUNTIF('April 2026'!C22:AF22,"A"),COUNTIF('May 2026'!C22:AG22,"A"),COUNTIF('June 2026'!C22:AF22,"A"),COUNTIF('July 2026'!C22:AG22,"A"),COUNTIF('August 2026'!C22:AG22,"A"),COUNTIF('September 2026'!C22:AF22,"A"),COUNTIF('October 2026'!C22:AG22,"A"),COUNTIF('November 2026'!C22:AF22,"A"),COUNTIF('December 2026'!C22:AG22,"A"))</f>
        <v>0</v>
      </c>
    </row>
    <row r="21" customFormat="false" ht="19.5" hidden="false" customHeight="true" outlineLevel="0" collapsed="false">
      <c r="B21" s="8" t="n">
        <f aca="false">'January 2026'!B23</f>
        <v>0</v>
      </c>
      <c r="C21" s="9"/>
      <c r="D21" s="9"/>
      <c r="E21" s="9" t="n">
        <f aca="false">SUM(C21:D21)</f>
        <v>0</v>
      </c>
      <c r="G21" s="9" t="n">
        <f aca="false">SUM('January 2026'!AH23,'February 2026'!AE23,'March 2026'!AH23,'April 2026'!AG23,'May 2026'!AH23,'June 2026'!AG23,'July 2026'!AH23,'August 2026'!AH23,'September 2026'!AG23,'October 2026'!AH23,'November 2026'!AG23,'December 2026'!AH23)</f>
        <v>0</v>
      </c>
      <c r="H21" s="9" t="n">
        <f aca="false">E21-G21</f>
        <v>0</v>
      </c>
      <c r="J21" s="9" t="n">
        <f aca="false">SUM(COUNTIF('January 2026'!C23:AG23,"H"),COUNTIF('February 2026'!C23:AD23,"H"),COUNTIF('March 2026'!C23:AG23,"H"),COUNTIF('April 2026'!C23:AF23,"H"),COUNTIF('May 2026'!C23:AG23,"H"),COUNTIF('June 2026'!C23:AF23,"H"),COUNTIF('July 2026'!C23:AG23,"H"),COUNTIF('August 2026'!C23:AG23,"H"),COUNTIF('September 2026'!C23:AF23,"H"),COUNTIF('October 2026'!C23:AG23,"H"),COUNTIF('November 2026'!C23:AF23,"H"),COUNTIF('December 2026'!C23:AG23,"H"))</f>
        <v>0</v>
      </c>
      <c r="K21" s="9" t="n">
        <f aca="false">SUM(COUNTIF('January 2026'!C23:AG23,"H1"),COUNTIF('February 2026'!C23:AD23,"H1"),COUNTIF('March 2026'!C23:AG23,"H1"),COUNTIF('April 2026'!C23:AF23,"H1"),COUNTIF('May 2026'!C23:AG23,"H1"),COUNTIF('June 2026'!C23:AF23,"H1"),COUNTIF('July 2026'!C23:AG23,"H1"),COUNTIF('August 2026'!C23:AG23,"H1"),COUNTIF('September 2026'!C23:AF23,"H1"),COUNTIF('October 2026'!C23:AG23,"H1"),COUNTIF('November 2026'!C23:AF23,"H1"),COUNTIF('December 2026'!C23:AG23,"H1"))</f>
        <v>0</v>
      </c>
      <c r="L21" s="9" t="n">
        <f aca="false">SUM(COUNTIF('January 2026'!C23:AG23,"H2"),COUNTIF('February 2026'!C23:AD23,"H2"),COUNTIF('March 2026'!C23:AG23,"H2"),COUNTIF('April 2026'!C23:AF23,"H2"),COUNTIF('May 2026'!C23:AG23,"H2"),COUNTIF('June 2026'!C23:AF23,"H2"),COUNTIF('July 2026'!C23:AG23,"H2"),COUNTIF('August 2026'!C23:AG23,"H2"),COUNTIF('September 2026'!C23:AF23,"H2"),COUNTIF('October 2026'!C23:AG23,"H2"),COUNTIF('November 2026'!C23:AF23,"H2"),COUNTIF('December 2026'!C23:AG23,"H2"))</f>
        <v>0</v>
      </c>
      <c r="M21" s="9" t="n">
        <f aca="false">SUM(COUNTIF('January 2026'!C23:AG23,"Q"),COUNTIF('February 2026'!C23:AD23,"Q"),COUNTIF('March 2026'!C23:AG23,"Q"),COUNTIF('April 2026'!C23:AF23,"Q"),COUNTIF('May 2026'!C23:AG23,"Q"),COUNTIF('June 2026'!C23:AF23,"Q"),COUNTIF('July 2026'!C23:AG23,"Q"),COUNTIF('August 2026'!C23:AG23,"Q"),COUNTIF('September 2026'!C23:AF23,"Q"),COUNTIF('October 2026'!C23:AG23,"Q"),COUNTIF('November 2026'!C23:AF23,"Q"),COUNTIF('December 2026'!C23:AG23,"Q"))</f>
        <v>0</v>
      </c>
      <c r="N21" s="9" t="n">
        <f aca="false">SUM(COUNTIF('January 2026'!C23:AG23,"I"),COUNTIF('February 2026'!C23:AD23,"I"),COUNTIF('March 2026'!C23:AG23,"I"),COUNTIF('April 2026'!C23:AF23,"I"),COUNTIF('May 2026'!C23:AG23,"I"),COUNTIF('June 2026'!C23:AF23,"I"),COUNTIF('July 2026'!C23:AG23,"I"),COUNTIF('August 2026'!C23:AG23,"I"),COUNTIF('September 2026'!C23:AF23,"I"),COUNTIF('October 2026'!C23:AG23,"I"),COUNTIF('November 2026'!C23:AF23,"I"),COUNTIF('December 2026'!C23:AG23,"I"))</f>
        <v>0</v>
      </c>
      <c r="O21" s="9" t="n">
        <f aca="false">SUM(COUNTIF('January 2026'!C23:AG23,"S"),COUNTIF('February 2026'!C23:AD23,"S"),COUNTIF('March 2026'!C23:AG23,"S"),COUNTIF('April 2026'!C23:AF23,"S"),COUNTIF('May 2026'!C23:AG23,"S"),COUNTIF('June 2026'!C23:AF23,"S"),COUNTIF('July 2026'!C23:AG23,"S"),COUNTIF('August 2026'!C23:AG23,"S"),COUNTIF('September 2026'!C23:AF23,"S"),COUNTIF('October 2026'!C23:AG23,"S"),COUNTIF('November 2026'!C23:AF23,"S"),COUNTIF('December 2026'!C23:AG23,"S"))</f>
        <v>0</v>
      </c>
      <c r="P21" s="9" t="n">
        <f aca="false">SUM(COUNTIF('January 2026'!C23:AG23,"M"),COUNTIF('February 2026'!C23:AD23,"M"),COUNTIF('March 2026'!C23:AG23,"M"),COUNTIF('April 2026'!C23:AF23,"M"),COUNTIF('May 2026'!C23:AG23,"M"),COUNTIF('June 2026'!C23:AF23,"M"),COUNTIF('July 2026'!C23:AG23,"M"),COUNTIF('August 2026'!C23:AG23,"M"),COUNTIF('September 2026'!C23:AF23,"M"),COUNTIF('October 2026'!C23:AG23,"M"),COUNTIF('November 2026'!C23:AF23,"M"),COUNTIF('December 2026'!C23:AG23,"M"))</f>
        <v>0</v>
      </c>
      <c r="Q21" s="9" t="n">
        <f aca="false">SUM(COUNTIF('January 2026'!C23:AG23,"C"),COUNTIF('February 2026'!C23:AD23,"C"),COUNTIF('March 2026'!C23:AG23,"C"),COUNTIF('April 2026'!C23:AF23,"C"),COUNTIF('May 2026'!C23:AG23,"C"),COUNTIF('June 2026'!C23:AF23,"C"),COUNTIF('July 2026'!C23:AG23,"C"),COUNTIF('August 2026'!C23:AG23,"C"),COUNTIF('September 2026'!C23:AF23,"C"),COUNTIF('October 2026'!C23:AG23,"C"),COUNTIF('November 2026'!C23:AF23,"C"),COUNTIF('December 2026'!C23:AG23,"C"))</f>
        <v>0</v>
      </c>
      <c r="R21" s="9" t="n">
        <f aca="false">SUM(COUNTIF('January 2026'!C23:AG23,"V"),COUNTIF('February 2026'!C23:AD23,"V"),COUNTIF('March 2026'!C23:AG23,"V"),COUNTIF('April 2026'!C23:AF23,"V"),COUNTIF('May 2026'!C23:AG23,"V"),COUNTIF('June 2026'!C23:AF23,"V"),COUNTIF('July 2026'!C23:AG23,"V"),COUNTIF('August 2026'!C23:AG23,"V"),COUNTIF('September 2026'!C23:AF23,"V"),COUNTIF('October 2026'!C23:AG23,"V"),COUNTIF('November 2026'!C23:AF23,"V"),COUNTIF('December 2026'!C23:AG23,"V"))</f>
        <v>0</v>
      </c>
      <c r="S21" s="9" t="n">
        <f aca="false">SUM(COUNTIF('January 2026'!C23:AG23,"A"),COUNTIF('February 2026'!C23:AD23,"A"),COUNTIF('March 2026'!C23:AG23,"A"),COUNTIF('April 2026'!C23:AF23,"A"),COUNTIF('May 2026'!C23:AG23,"A"),COUNTIF('June 2026'!C23:AF23,"A"),COUNTIF('July 2026'!C23:AG23,"A"),COUNTIF('August 2026'!C23:AG23,"A"),COUNTIF('September 2026'!C23:AF23,"A"),COUNTIF('October 2026'!C23:AG23,"A"),COUNTIF('November 2026'!C23:AF23,"A"),COUNTIF('December 2026'!C23:AG23,"A"))</f>
        <v>0</v>
      </c>
    </row>
    <row r="22" customFormat="false" ht="19.5" hidden="false" customHeight="true" outlineLevel="0" collapsed="false">
      <c r="B22" s="8" t="n">
        <f aca="false">'January 2026'!B24</f>
        <v>0</v>
      </c>
      <c r="C22" s="9"/>
      <c r="D22" s="9"/>
      <c r="E22" s="9" t="n">
        <f aca="false">SUM(C22:D22)</f>
        <v>0</v>
      </c>
      <c r="G22" s="9" t="n">
        <f aca="false">SUM('January 2026'!AH24,'February 2026'!AE24,'March 2026'!AH24,'April 2026'!AG24,'May 2026'!AH24,'June 2026'!AG24,'July 2026'!AH24,'August 2026'!AH24,'September 2026'!AG24,'October 2026'!AH24,'November 2026'!AG24,'December 2026'!AH24)</f>
        <v>0</v>
      </c>
      <c r="H22" s="9" t="n">
        <f aca="false">E22-G22</f>
        <v>0</v>
      </c>
      <c r="J22" s="9" t="n">
        <f aca="false">SUM(COUNTIF('January 2026'!C24:AG24,"H"),COUNTIF('February 2026'!C24:AD24,"H"),COUNTIF('March 2026'!C24:AG24,"H"),COUNTIF('April 2026'!C24:AF24,"H"),COUNTIF('May 2026'!C24:AG24,"H"),COUNTIF('June 2026'!C24:AF24,"H"),COUNTIF('July 2026'!C24:AG24,"H"),COUNTIF('August 2026'!C24:AG24,"H"),COUNTIF('September 2026'!C24:AF24,"H"),COUNTIF('October 2026'!C24:AG24,"H"),COUNTIF('November 2026'!C24:AF24,"H"),COUNTIF('December 2026'!C24:AG24,"H"))</f>
        <v>0</v>
      </c>
      <c r="K22" s="9" t="n">
        <f aca="false">SUM(COUNTIF('January 2026'!C24:AG24,"H1"),COUNTIF('February 2026'!C24:AD24,"H1"),COUNTIF('March 2026'!C24:AG24,"H1"),COUNTIF('April 2026'!C24:AF24,"H1"),COUNTIF('May 2026'!C24:AG24,"H1"),COUNTIF('June 2026'!C24:AF24,"H1"),COUNTIF('July 2026'!C24:AG24,"H1"),COUNTIF('August 2026'!C24:AG24,"H1"),COUNTIF('September 2026'!C24:AF24,"H1"),COUNTIF('October 2026'!C24:AG24,"H1"),COUNTIF('November 2026'!C24:AF24,"H1"),COUNTIF('December 2026'!C24:AG24,"H1"))</f>
        <v>0</v>
      </c>
      <c r="L22" s="9" t="n">
        <f aca="false">SUM(COUNTIF('January 2026'!C24:AG24,"H2"),COUNTIF('February 2026'!C24:AD24,"H2"),COUNTIF('March 2026'!C24:AG24,"H2"),COUNTIF('April 2026'!C24:AF24,"H2"),COUNTIF('May 2026'!C24:AG24,"H2"),COUNTIF('June 2026'!C24:AF24,"H2"),COUNTIF('July 2026'!C24:AG24,"H2"),COUNTIF('August 2026'!C24:AG24,"H2"),COUNTIF('September 2026'!C24:AF24,"H2"),COUNTIF('October 2026'!C24:AG24,"H2"),COUNTIF('November 2026'!C24:AF24,"H2"),COUNTIF('December 2026'!C24:AG24,"H2"))</f>
        <v>0</v>
      </c>
      <c r="M22" s="9" t="n">
        <f aca="false">SUM(COUNTIF('January 2026'!C24:AG24,"Q"),COUNTIF('February 2026'!C24:AD24,"Q"),COUNTIF('March 2026'!C24:AG24,"Q"),COUNTIF('April 2026'!C24:AF24,"Q"),COUNTIF('May 2026'!C24:AG24,"Q"),COUNTIF('June 2026'!C24:AF24,"Q"),COUNTIF('July 2026'!C24:AG24,"Q"),COUNTIF('August 2026'!C24:AG24,"Q"),COUNTIF('September 2026'!C24:AF24,"Q"),COUNTIF('October 2026'!C24:AG24,"Q"),COUNTIF('November 2026'!C24:AF24,"Q"),COUNTIF('December 2026'!C24:AG24,"Q"))</f>
        <v>0</v>
      </c>
      <c r="N22" s="9" t="n">
        <f aca="false">SUM(COUNTIF('January 2026'!C24:AG24,"I"),COUNTIF('February 2026'!C24:AD24,"I"),COUNTIF('March 2026'!C24:AG24,"I"),COUNTIF('April 2026'!C24:AF24,"I"),COUNTIF('May 2026'!C24:AG24,"I"),COUNTIF('June 2026'!C24:AF24,"I"),COUNTIF('July 2026'!C24:AG24,"I"),COUNTIF('August 2026'!C24:AG24,"I"),COUNTIF('September 2026'!C24:AF24,"I"),COUNTIF('October 2026'!C24:AG24,"I"),COUNTIF('November 2026'!C24:AF24,"I"),COUNTIF('December 2026'!C24:AG24,"I"))</f>
        <v>0</v>
      </c>
      <c r="O22" s="9" t="n">
        <f aca="false">SUM(COUNTIF('January 2026'!C24:AG24,"S"),COUNTIF('February 2026'!C24:AD24,"S"),COUNTIF('March 2026'!C24:AG24,"S"),COUNTIF('April 2026'!C24:AF24,"S"),COUNTIF('May 2026'!C24:AG24,"S"),COUNTIF('June 2026'!C24:AF24,"S"),COUNTIF('July 2026'!C24:AG24,"S"),COUNTIF('August 2026'!C24:AG24,"S"),COUNTIF('September 2026'!C24:AF24,"S"),COUNTIF('October 2026'!C24:AG24,"S"),COUNTIF('November 2026'!C24:AF24,"S"),COUNTIF('December 2026'!C24:AG24,"S"))</f>
        <v>0</v>
      </c>
      <c r="P22" s="9" t="n">
        <f aca="false">SUM(COUNTIF('January 2026'!C24:AG24,"M"),COUNTIF('February 2026'!C24:AD24,"M"),COUNTIF('March 2026'!C24:AG24,"M"),COUNTIF('April 2026'!C24:AF24,"M"),COUNTIF('May 2026'!C24:AG24,"M"),COUNTIF('June 2026'!C24:AF24,"M"),COUNTIF('July 2026'!C24:AG24,"M"),COUNTIF('August 2026'!C24:AG24,"M"),COUNTIF('September 2026'!C24:AF24,"M"),COUNTIF('October 2026'!C24:AG24,"M"),COUNTIF('November 2026'!C24:AF24,"M"),COUNTIF('December 2026'!C24:AG24,"M"))</f>
        <v>0</v>
      </c>
      <c r="Q22" s="9" t="n">
        <f aca="false">SUM(COUNTIF('January 2026'!C24:AG24,"C"),COUNTIF('February 2026'!C24:AD24,"C"),COUNTIF('March 2026'!C24:AG24,"C"),COUNTIF('April 2026'!C24:AF24,"C"),COUNTIF('May 2026'!C24:AG24,"C"),COUNTIF('June 2026'!C24:AF24,"C"),COUNTIF('July 2026'!C24:AG24,"C"),COUNTIF('August 2026'!C24:AG24,"C"),COUNTIF('September 2026'!C24:AF24,"C"),COUNTIF('October 2026'!C24:AG24,"C"),COUNTIF('November 2026'!C24:AF24,"C"),COUNTIF('December 2026'!C24:AG24,"C"))</f>
        <v>0</v>
      </c>
      <c r="R22" s="9" t="n">
        <f aca="false">SUM(COUNTIF('January 2026'!C24:AG24,"V"),COUNTIF('February 2026'!C24:AD24,"V"),COUNTIF('March 2026'!C24:AG24,"V"),COUNTIF('April 2026'!C24:AF24,"V"),COUNTIF('May 2026'!C24:AG24,"V"),COUNTIF('June 2026'!C24:AF24,"V"),COUNTIF('July 2026'!C24:AG24,"V"),COUNTIF('August 2026'!C24:AG24,"V"),COUNTIF('September 2026'!C24:AF24,"V"),COUNTIF('October 2026'!C24:AG24,"V"),COUNTIF('November 2026'!C24:AF24,"V"),COUNTIF('December 2026'!C24:AG24,"V"))</f>
        <v>0</v>
      </c>
      <c r="S22" s="9" t="n">
        <f aca="false">SUM(COUNTIF('January 2026'!C24:AG24,"A"),COUNTIF('February 2026'!C24:AD24,"A"),COUNTIF('March 2026'!C24:AG24,"A"),COUNTIF('April 2026'!C24:AF24,"A"),COUNTIF('May 2026'!C24:AG24,"A"),COUNTIF('June 2026'!C24:AF24,"A"),COUNTIF('July 2026'!C24:AG24,"A"),COUNTIF('August 2026'!C24:AG24,"A"),COUNTIF('September 2026'!C24:AF24,"A"),COUNTIF('October 2026'!C24:AG24,"A"),COUNTIF('November 2026'!C24:AF24,"A"),COUNTIF('December 2026'!C24:AG24,"A"))</f>
        <v>0</v>
      </c>
    </row>
    <row r="23" customFormat="false" ht="19.5" hidden="false" customHeight="true" outlineLevel="0" collapsed="false">
      <c r="B23" s="8" t="n">
        <f aca="false">'January 2026'!B25</f>
        <v>0</v>
      </c>
      <c r="C23" s="9"/>
      <c r="D23" s="9"/>
      <c r="E23" s="9" t="n">
        <f aca="false">SUM(C23:D23)</f>
        <v>0</v>
      </c>
      <c r="G23" s="9" t="n">
        <f aca="false">SUM('January 2026'!AH25,'February 2026'!AE25,'March 2026'!AH25,'April 2026'!AG25,'May 2026'!AH25,'June 2026'!AG25,'July 2026'!AH25,'August 2026'!AH25,'September 2026'!AG25,'October 2026'!AH25,'November 2026'!AG25,'December 2026'!AH25)</f>
        <v>0</v>
      </c>
      <c r="H23" s="9" t="n">
        <f aca="false">E23-G23</f>
        <v>0</v>
      </c>
      <c r="J23" s="9" t="n">
        <f aca="false">SUM(COUNTIF('January 2026'!C25:AG25,"H"),COUNTIF('February 2026'!C25:AD25,"H"),COUNTIF('March 2026'!C25:AG25,"H"),COUNTIF('April 2026'!C25:AF25,"H"),COUNTIF('May 2026'!C25:AG25,"H"),COUNTIF('June 2026'!C25:AF25,"H"),COUNTIF('July 2026'!C25:AG25,"H"),COUNTIF('August 2026'!C25:AG25,"H"),COUNTIF('September 2026'!C25:AF25,"H"),COUNTIF('October 2026'!C25:AG25,"H"),COUNTIF('November 2026'!C25:AF25,"H"),COUNTIF('December 2026'!C25:AG25,"H"))</f>
        <v>0</v>
      </c>
      <c r="K23" s="9" t="n">
        <f aca="false">SUM(COUNTIF('January 2026'!C25:AG25,"H1"),COUNTIF('February 2026'!C25:AD25,"H1"),COUNTIF('March 2026'!C25:AG25,"H1"),COUNTIF('April 2026'!C25:AF25,"H1"),COUNTIF('May 2026'!C25:AG25,"H1"),COUNTIF('June 2026'!C25:AF25,"H1"),COUNTIF('July 2026'!C25:AG25,"H1"),COUNTIF('August 2026'!C25:AG25,"H1"),COUNTIF('September 2026'!C25:AF25,"H1"),COUNTIF('October 2026'!C25:AG25,"H1"),COUNTIF('November 2026'!C25:AF25,"H1"),COUNTIF('December 2026'!C25:AG25,"H1"))</f>
        <v>0</v>
      </c>
      <c r="L23" s="9" t="n">
        <f aca="false">SUM(COUNTIF('January 2026'!C25:AG25,"H2"),COUNTIF('February 2026'!C25:AD25,"H2"),COUNTIF('March 2026'!C25:AG25,"H2"),COUNTIF('April 2026'!C25:AF25,"H2"),COUNTIF('May 2026'!C25:AG25,"H2"),COUNTIF('June 2026'!C25:AF25,"H2"),COUNTIF('July 2026'!C25:AG25,"H2"),COUNTIF('August 2026'!C25:AG25,"H2"),COUNTIF('September 2026'!C25:AF25,"H2"),COUNTIF('October 2026'!C25:AG25,"H2"),COUNTIF('November 2026'!C25:AF25,"H2"),COUNTIF('December 2026'!C25:AG25,"H2"))</f>
        <v>0</v>
      </c>
      <c r="M23" s="9" t="n">
        <f aca="false">SUM(COUNTIF('January 2026'!C25:AG25,"Q"),COUNTIF('February 2026'!C25:AD25,"Q"),COUNTIF('March 2026'!C25:AG25,"Q"),COUNTIF('April 2026'!C25:AF25,"Q"),COUNTIF('May 2026'!C25:AG25,"Q"),COUNTIF('June 2026'!C25:AF25,"Q"),COUNTIF('July 2026'!C25:AG25,"Q"),COUNTIF('August 2026'!C25:AG25,"Q"),COUNTIF('September 2026'!C25:AF25,"Q"),COUNTIF('October 2026'!C25:AG25,"Q"),COUNTIF('November 2026'!C25:AF25,"Q"),COUNTIF('December 2026'!C25:AG25,"Q"))</f>
        <v>0</v>
      </c>
      <c r="N23" s="9" t="n">
        <f aca="false">SUM(COUNTIF('January 2026'!C25:AG25,"I"),COUNTIF('February 2026'!C25:AD25,"I"),COUNTIF('March 2026'!C25:AG25,"I"),COUNTIF('April 2026'!C25:AF25,"I"),COUNTIF('May 2026'!C25:AG25,"I"),COUNTIF('June 2026'!C25:AF25,"I"),COUNTIF('July 2026'!C25:AG25,"I"),COUNTIF('August 2026'!C25:AG25,"I"),COUNTIF('September 2026'!C25:AF25,"I"),COUNTIF('October 2026'!C25:AG25,"I"),COUNTIF('November 2026'!C25:AF25,"I"),COUNTIF('December 2026'!C25:AG25,"I"))</f>
        <v>0</v>
      </c>
      <c r="O23" s="9" t="n">
        <f aca="false">SUM(COUNTIF('January 2026'!C25:AG25,"S"),COUNTIF('February 2026'!C25:AD25,"S"),COUNTIF('March 2026'!C25:AG25,"S"),COUNTIF('April 2026'!C25:AF25,"S"),COUNTIF('May 2026'!C25:AG25,"S"),COUNTIF('June 2026'!C25:AF25,"S"),COUNTIF('July 2026'!C25:AG25,"S"),COUNTIF('August 2026'!C25:AG25,"S"),COUNTIF('September 2026'!C25:AF25,"S"),COUNTIF('October 2026'!C25:AG25,"S"),COUNTIF('November 2026'!C25:AF25,"S"),COUNTIF('December 2026'!C25:AG25,"S"))</f>
        <v>0</v>
      </c>
      <c r="P23" s="9" t="n">
        <f aca="false">SUM(COUNTIF('January 2026'!C25:AG25,"M"),COUNTIF('February 2026'!C25:AD25,"M"),COUNTIF('March 2026'!C25:AG25,"M"),COUNTIF('April 2026'!C25:AF25,"M"),COUNTIF('May 2026'!C25:AG25,"M"),COUNTIF('June 2026'!C25:AF25,"M"),COUNTIF('July 2026'!C25:AG25,"M"),COUNTIF('August 2026'!C25:AG25,"M"),COUNTIF('September 2026'!C25:AF25,"M"),COUNTIF('October 2026'!C25:AG25,"M"),COUNTIF('November 2026'!C25:AF25,"M"),COUNTIF('December 2026'!C25:AG25,"M"))</f>
        <v>0</v>
      </c>
      <c r="Q23" s="9" t="n">
        <f aca="false">SUM(COUNTIF('January 2026'!C25:AG25,"C"),COUNTIF('February 2026'!C25:AD25,"C"),COUNTIF('March 2026'!C25:AG25,"C"),COUNTIF('April 2026'!C25:AF25,"C"),COUNTIF('May 2026'!C25:AG25,"C"),COUNTIF('June 2026'!C25:AF25,"C"),COUNTIF('July 2026'!C25:AG25,"C"),COUNTIF('August 2026'!C25:AG25,"C"),COUNTIF('September 2026'!C25:AF25,"C"),COUNTIF('October 2026'!C25:AG25,"C"),COUNTIF('November 2026'!C25:AF25,"C"),COUNTIF('December 2026'!C25:AG25,"C"))</f>
        <v>0</v>
      </c>
      <c r="R23" s="9" t="n">
        <f aca="false">SUM(COUNTIF('January 2026'!C25:AG25,"V"),COUNTIF('February 2026'!C25:AD25,"V"),COUNTIF('March 2026'!C25:AG25,"V"),COUNTIF('April 2026'!C25:AF25,"V"),COUNTIF('May 2026'!C25:AG25,"V"),COUNTIF('June 2026'!C25:AF25,"V"),COUNTIF('July 2026'!C25:AG25,"V"),COUNTIF('August 2026'!C25:AG25,"V"),COUNTIF('September 2026'!C25:AF25,"V"),COUNTIF('October 2026'!C25:AG25,"V"),COUNTIF('November 2026'!C25:AF25,"V"),COUNTIF('December 2026'!C25:AG25,"V"))</f>
        <v>0</v>
      </c>
      <c r="S23" s="9" t="n">
        <f aca="false">SUM(COUNTIF('January 2026'!C25:AG25,"A"),COUNTIF('February 2026'!C25:AD25,"A"),COUNTIF('March 2026'!C25:AG25,"A"),COUNTIF('April 2026'!C25:AF25,"A"),COUNTIF('May 2026'!C25:AG25,"A"),COUNTIF('June 2026'!C25:AF25,"A"),COUNTIF('July 2026'!C25:AG25,"A"),COUNTIF('August 2026'!C25:AG25,"A"),COUNTIF('September 2026'!C25:AF25,"A"),COUNTIF('October 2026'!C25:AG25,"A"),COUNTIF('November 2026'!C25:AF25,"A"),COUNTIF('December 2026'!C25:AG25,"A"))</f>
        <v>0</v>
      </c>
    </row>
    <row r="24" customFormat="false" ht="19.5" hidden="false" customHeight="true" outlineLevel="0" collapsed="false">
      <c r="B24" s="8" t="n">
        <f aca="false">'January 2026'!B26</f>
        <v>0</v>
      </c>
      <c r="C24" s="9"/>
      <c r="D24" s="9"/>
      <c r="E24" s="9" t="n">
        <f aca="false">SUM(C24:D24)</f>
        <v>0</v>
      </c>
      <c r="G24" s="9" t="n">
        <f aca="false">SUM('January 2026'!AH26,'February 2026'!AE26,'March 2026'!AH26,'April 2026'!AG26,'May 2026'!AH26,'June 2026'!AG26,'July 2026'!AH26,'August 2026'!AH26,'September 2026'!AG26,'October 2026'!AH26,'November 2026'!AG26,'December 2026'!AH26)</f>
        <v>0</v>
      </c>
      <c r="H24" s="9" t="n">
        <f aca="false">E24-G24</f>
        <v>0</v>
      </c>
      <c r="J24" s="9" t="n">
        <f aca="false">SUM(COUNTIF('January 2026'!C26:AG26,"H"),COUNTIF('February 2026'!C26:AD26,"H"),COUNTIF('March 2026'!C26:AG26,"H"),COUNTIF('April 2026'!C26:AF26,"H"),COUNTIF('May 2026'!C26:AG26,"H"),COUNTIF('June 2026'!C26:AF26,"H"),COUNTIF('July 2026'!C26:AG26,"H"),COUNTIF('August 2026'!C26:AG26,"H"),COUNTIF('September 2026'!C26:AF26,"H"),COUNTIF('October 2026'!C26:AG26,"H"),COUNTIF('November 2026'!C26:AF26,"H"),COUNTIF('December 2026'!C26:AG26,"H"))</f>
        <v>0</v>
      </c>
      <c r="K24" s="9" t="n">
        <f aca="false">SUM(COUNTIF('January 2026'!C26:AG26,"H1"),COUNTIF('February 2026'!C26:AD26,"H1"),COUNTIF('March 2026'!C26:AG26,"H1"),COUNTIF('April 2026'!C26:AF26,"H1"),COUNTIF('May 2026'!C26:AG26,"H1"),COUNTIF('June 2026'!C26:AF26,"H1"),COUNTIF('July 2026'!C26:AG26,"H1"),COUNTIF('August 2026'!C26:AG26,"H1"),COUNTIF('September 2026'!C26:AF26,"H1"),COUNTIF('October 2026'!C26:AG26,"H1"),COUNTIF('November 2026'!C26:AF26,"H1"),COUNTIF('December 2026'!C26:AG26,"H1"))</f>
        <v>0</v>
      </c>
      <c r="L24" s="9" t="n">
        <f aca="false">SUM(COUNTIF('January 2026'!C26:AG26,"H2"),COUNTIF('February 2026'!C26:AD26,"H2"),COUNTIF('March 2026'!C26:AG26,"H2"),COUNTIF('April 2026'!C26:AF26,"H2"),COUNTIF('May 2026'!C26:AG26,"H2"),COUNTIF('June 2026'!C26:AF26,"H2"),COUNTIF('July 2026'!C26:AG26,"H2"),COUNTIF('August 2026'!C26:AG26,"H2"),COUNTIF('September 2026'!C26:AF26,"H2"),COUNTIF('October 2026'!C26:AG26,"H2"),COUNTIF('November 2026'!C26:AF26,"H2"),COUNTIF('December 2026'!C26:AG26,"H2"))</f>
        <v>0</v>
      </c>
      <c r="M24" s="9" t="n">
        <f aca="false">SUM(COUNTIF('January 2026'!C26:AG26,"Q"),COUNTIF('February 2026'!C26:AD26,"Q"),COUNTIF('March 2026'!C26:AG26,"Q"),COUNTIF('April 2026'!C26:AF26,"Q"),COUNTIF('May 2026'!C26:AG26,"Q"),COUNTIF('June 2026'!C26:AF26,"Q"),COUNTIF('July 2026'!C26:AG26,"Q"),COUNTIF('August 2026'!C26:AG26,"Q"),COUNTIF('September 2026'!C26:AF26,"Q"),COUNTIF('October 2026'!C26:AG26,"Q"),COUNTIF('November 2026'!C26:AF26,"Q"),COUNTIF('December 2026'!C26:AG26,"Q"))</f>
        <v>0</v>
      </c>
      <c r="N24" s="9" t="n">
        <f aca="false">SUM(COUNTIF('January 2026'!C26:AG26,"I"),COUNTIF('February 2026'!C26:AD26,"I"),COUNTIF('March 2026'!C26:AG26,"I"),COUNTIF('April 2026'!C26:AF26,"I"),COUNTIF('May 2026'!C26:AG26,"I"),COUNTIF('June 2026'!C26:AF26,"I"),COUNTIF('July 2026'!C26:AG26,"I"),COUNTIF('August 2026'!C26:AG26,"I"),COUNTIF('September 2026'!C26:AF26,"I"),COUNTIF('October 2026'!C26:AG26,"I"),COUNTIF('November 2026'!C26:AF26,"I"),COUNTIF('December 2026'!C26:AG26,"I"))</f>
        <v>0</v>
      </c>
      <c r="O24" s="9" t="n">
        <f aca="false">SUM(COUNTIF('January 2026'!C26:AG26,"S"),COUNTIF('February 2026'!C26:AD26,"S"),COUNTIF('March 2026'!C26:AG26,"S"),COUNTIF('April 2026'!C26:AF26,"S"),COUNTIF('May 2026'!C26:AG26,"S"),COUNTIF('June 2026'!C26:AF26,"S"),COUNTIF('July 2026'!C26:AG26,"S"),COUNTIF('August 2026'!C26:AG26,"S"),COUNTIF('September 2026'!C26:AF26,"S"),COUNTIF('October 2026'!C26:AG26,"S"),COUNTIF('November 2026'!C26:AF26,"S"),COUNTIF('December 2026'!C26:AG26,"S"))</f>
        <v>0</v>
      </c>
      <c r="P24" s="9" t="n">
        <f aca="false">SUM(COUNTIF('January 2026'!C26:AG26,"M"),COUNTIF('February 2026'!C26:AD26,"M"),COUNTIF('March 2026'!C26:AG26,"M"),COUNTIF('April 2026'!C26:AF26,"M"),COUNTIF('May 2026'!C26:AG26,"M"),COUNTIF('June 2026'!C26:AF26,"M"),COUNTIF('July 2026'!C26:AG26,"M"),COUNTIF('August 2026'!C26:AG26,"M"),COUNTIF('September 2026'!C26:AF26,"M"),COUNTIF('October 2026'!C26:AG26,"M"),COUNTIF('November 2026'!C26:AF26,"M"),COUNTIF('December 2026'!C26:AG26,"M"))</f>
        <v>0</v>
      </c>
      <c r="Q24" s="9" t="n">
        <f aca="false">SUM(COUNTIF('January 2026'!C26:AG26,"C"),COUNTIF('February 2026'!C26:AD26,"C"),COUNTIF('March 2026'!C26:AG26,"C"),COUNTIF('April 2026'!C26:AF26,"C"),COUNTIF('May 2026'!C26:AG26,"C"),COUNTIF('June 2026'!C26:AF26,"C"),COUNTIF('July 2026'!C26:AG26,"C"),COUNTIF('August 2026'!C26:AG26,"C"),COUNTIF('September 2026'!C26:AF26,"C"),COUNTIF('October 2026'!C26:AG26,"C"),COUNTIF('November 2026'!C26:AF26,"C"),COUNTIF('December 2026'!C26:AG26,"C"))</f>
        <v>0</v>
      </c>
      <c r="R24" s="9" t="n">
        <f aca="false">SUM(COUNTIF('January 2026'!C26:AG26,"V"),COUNTIF('February 2026'!C26:AD26,"V"),COUNTIF('March 2026'!C26:AG26,"V"),COUNTIF('April 2026'!C26:AF26,"V"),COUNTIF('May 2026'!C26:AG26,"V"),COUNTIF('June 2026'!C26:AF26,"V"),COUNTIF('July 2026'!C26:AG26,"V"),COUNTIF('August 2026'!C26:AG26,"V"),COUNTIF('September 2026'!C26:AF26,"V"),COUNTIF('October 2026'!C26:AG26,"V"),COUNTIF('November 2026'!C26:AF26,"V"),COUNTIF('December 2026'!C26:AG26,"V"))</f>
        <v>0</v>
      </c>
      <c r="S24" s="9" t="n">
        <f aca="false">SUM(COUNTIF('January 2026'!C26:AG26,"A"),COUNTIF('February 2026'!C26:AD26,"A"),COUNTIF('March 2026'!C26:AG26,"A"),COUNTIF('April 2026'!C26:AF26,"A"),COUNTIF('May 2026'!C26:AG26,"A"),COUNTIF('June 2026'!C26:AF26,"A"),COUNTIF('July 2026'!C26:AG26,"A"),COUNTIF('August 2026'!C26:AG26,"A"),COUNTIF('September 2026'!C26:AF26,"A"),COUNTIF('October 2026'!C26:AG26,"A"),COUNTIF('November 2026'!C26:AF26,"A"),COUNTIF('December 2026'!C26:AG26,"A"))</f>
        <v>0</v>
      </c>
    </row>
    <row r="25" customFormat="false" ht="19.5" hidden="false" customHeight="true" outlineLevel="0" collapsed="false">
      <c r="B25" s="8" t="n">
        <f aca="false">'January 2026'!B27</f>
        <v>0</v>
      </c>
      <c r="C25" s="9"/>
      <c r="D25" s="9"/>
      <c r="E25" s="9" t="n">
        <f aca="false">SUM(C25:D25)</f>
        <v>0</v>
      </c>
      <c r="G25" s="9" t="n">
        <f aca="false">SUM('January 2026'!AH27,'February 2026'!AE27,'March 2026'!AH27,'April 2026'!AG27,'May 2026'!AH27,'June 2026'!AG27,'July 2026'!AH27,'August 2026'!AH27,'September 2026'!AG27,'October 2026'!AH27,'November 2026'!AG27,'December 2026'!AH27)</f>
        <v>0</v>
      </c>
      <c r="H25" s="9" t="n">
        <f aca="false">E25-G25</f>
        <v>0</v>
      </c>
      <c r="J25" s="9" t="n">
        <f aca="false">SUM(COUNTIF('January 2026'!C27:AG27,"H"),COUNTIF('February 2026'!C27:AD27,"H"),COUNTIF('March 2026'!C27:AG27,"H"),COUNTIF('April 2026'!C27:AF27,"H"),COUNTIF('May 2026'!C27:AG27,"H"),COUNTIF('June 2026'!C27:AF27,"H"),COUNTIF('July 2026'!C27:AG27,"H"),COUNTIF('August 2026'!C27:AG27,"H"),COUNTIF('September 2026'!C27:AF27,"H"),COUNTIF('October 2026'!C27:AG27,"H"),COUNTIF('November 2026'!C27:AF27,"H"),COUNTIF('December 2026'!C27:AG27,"H"))</f>
        <v>0</v>
      </c>
      <c r="K25" s="9" t="n">
        <f aca="false">SUM(COUNTIF('January 2026'!C27:AG27,"H1"),COUNTIF('February 2026'!C27:AD27,"H1"),COUNTIF('March 2026'!C27:AG27,"H1"),COUNTIF('April 2026'!C27:AF27,"H1"),COUNTIF('May 2026'!C27:AG27,"H1"),COUNTIF('June 2026'!C27:AF27,"H1"),COUNTIF('July 2026'!C27:AG27,"H1"),COUNTIF('August 2026'!C27:AG27,"H1"),COUNTIF('September 2026'!C27:AF27,"H1"),COUNTIF('October 2026'!C27:AG27,"H1"),COUNTIF('November 2026'!C27:AF27,"H1"),COUNTIF('December 2026'!C27:AG27,"H1"))</f>
        <v>0</v>
      </c>
      <c r="L25" s="9" t="n">
        <f aca="false">SUM(COUNTIF('January 2026'!C27:AG27,"H2"),COUNTIF('February 2026'!C27:AD27,"H2"),COUNTIF('March 2026'!C27:AG27,"H2"),COUNTIF('April 2026'!C27:AF27,"H2"),COUNTIF('May 2026'!C27:AG27,"H2"),COUNTIF('June 2026'!C27:AF27,"H2"),COUNTIF('July 2026'!C27:AG27,"H2"),COUNTIF('August 2026'!C27:AG27,"H2"),COUNTIF('September 2026'!C27:AF27,"H2"),COUNTIF('October 2026'!C27:AG27,"H2"),COUNTIF('November 2026'!C27:AF27,"H2"),COUNTIF('December 2026'!C27:AG27,"H2"))</f>
        <v>0</v>
      </c>
      <c r="M25" s="9" t="n">
        <f aca="false">SUM(COUNTIF('January 2026'!C27:AG27,"Q"),COUNTIF('February 2026'!C27:AD27,"Q"),COUNTIF('March 2026'!C27:AG27,"Q"),COUNTIF('April 2026'!C27:AF27,"Q"),COUNTIF('May 2026'!C27:AG27,"Q"),COUNTIF('June 2026'!C27:AF27,"Q"),COUNTIF('July 2026'!C27:AG27,"Q"),COUNTIF('August 2026'!C27:AG27,"Q"),COUNTIF('September 2026'!C27:AF27,"Q"),COUNTIF('October 2026'!C27:AG27,"Q"),COUNTIF('November 2026'!C27:AF27,"Q"),COUNTIF('December 2026'!C27:AG27,"Q"))</f>
        <v>0</v>
      </c>
      <c r="N25" s="9" t="n">
        <f aca="false">SUM(COUNTIF('January 2026'!C27:AG27,"I"),COUNTIF('February 2026'!C27:AD27,"I"),COUNTIF('March 2026'!C27:AG27,"I"),COUNTIF('April 2026'!C27:AF27,"I"),COUNTIF('May 2026'!C27:AG27,"I"),COUNTIF('June 2026'!C27:AF27,"I"),COUNTIF('July 2026'!C27:AG27,"I"),COUNTIF('August 2026'!C27:AG27,"I"),COUNTIF('September 2026'!C27:AF27,"I"),COUNTIF('October 2026'!C27:AG27,"I"),COUNTIF('November 2026'!C27:AF27,"I"),COUNTIF('December 2026'!C27:AG27,"I"))</f>
        <v>0</v>
      </c>
      <c r="O25" s="9" t="n">
        <f aca="false">SUM(COUNTIF('January 2026'!C27:AG27,"S"),COUNTIF('February 2026'!C27:AD27,"S"),COUNTIF('March 2026'!C27:AG27,"S"),COUNTIF('April 2026'!C27:AF27,"S"),COUNTIF('May 2026'!C27:AG27,"S"),COUNTIF('June 2026'!C27:AF27,"S"),COUNTIF('July 2026'!C27:AG27,"S"),COUNTIF('August 2026'!C27:AG27,"S"),COUNTIF('September 2026'!C27:AF27,"S"),COUNTIF('October 2026'!C27:AG27,"S"),COUNTIF('November 2026'!C27:AF27,"S"),COUNTIF('December 2026'!C27:AG27,"S"))</f>
        <v>0</v>
      </c>
      <c r="P25" s="9" t="n">
        <f aca="false">SUM(COUNTIF('January 2026'!C27:AG27,"M"),COUNTIF('February 2026'!C27:AD27,"M"),COUNTIF('March 2026'!C27:AG27,"M"),COUNTIF('April 2026'!C27:AF27,"M"),COUNTIF('May 2026'!C27:AG27,"M"),COUNTIF('June 2026'!C27:AF27,"M"),COUNTIF('July 2026'!C27:AG27,"M"),COUNTIF('August 2026'!C27:AG27,"M"),COUNTIF('September 2026'!C27:AF27,"M"),COUNTIF('October 2026'!C27:AG27,"M"),COUNTIF('November 2026'!C27:AF27,"M"),COUNTIF('December 2026'!C27:AG27,"M"))</f>
        <v>0</v>
      </c>
      <c r="Q25" s="9" t="n">
        <f aca="false">SUM(COUNTIF('January 2026'!C27:AG27,"C"),COUNTIF('February 2026'!C27:AD27,"C"),COUNTIF('March 2026'!C27:AG27,"C"),COUNTIF('April 2026'!C27:AF27,"C"),COUNTIF('May 2026'!C27:AG27,"C"),COUNTIF('June 2026'!C27:AF27,"C"),COUNTIF('July 2026'!C27:AG27,"C"),COUNTIF('August 2026'!C27:AG27,"C"),COUNTIF('September 2026'!C27:AF27,"C"),COUNTIF('October 2026'!C27:AG27,"C"),COUNTIF('November 2026'!C27:AF27,"C"),COUNTIF('December 2026'!C27:AG27,"C"))</f>
        <v>0</v>
      </c>
      <c r="R25" s="9" t="n">
        <f aca="false">SUM(COUNTIF('January 2026'!C27:AG27,"V"),COUNTIF('February 2026'!C27:AD27,"V"),COUNTIF('March 2026'!C27:AG27,"V"),COUNTIF('April 2026'!C27:AF27,"V"),COUNTIF('May 2026'!C27:AG27,"V"),COUNTIF('June 2026'!C27:AF27,"V"),COUNTIF('July 2026'!C27:AG27,"V"),COUNTIF('August 2026'!C27:AG27,"V"),COUNTIF('September 2026'!C27:AF27,"V"),COUNTIF('October 2026'!C27:AG27,"V"),COUNTIF('November 2026'!C27:AF27,"V"),COUNTIF('December 2026'!C27:AG27,"V"))</f>
        <v>0</v>
      </c>
      <c r="S25" s="9" t="n">
        <f aca="false">SUM(COUNTIF('January 2026'!C27:AG27,"A"),COUNTIF('February 2026'!C27:AD27,"A"),COUNTIF('March 2026'!C27:AG27,"A"),COUNTIF('April 2026'!C27:AF27,"A"),COUNTIF('May 2026'!C27:AG27,"A"),COUNTIF('June 2026'!C27:AF27,"A"),COUNTIF('July 2026'!C27:AG27,"A"),COUNTIF('August 2026'!C27:AG27,"A"),COUNTIF('September 2026'!C27:AF27,"A"),COUNTIF('October 2026'!C27:AG27,"A"),COUNTIF('November 2026'!C27:AF27,"A"),COUNTIF('December 2026'!C27:AG27,"A"))</f>
        <v>0</v>
      </c>
    </row>
    <row r="26" customFormat="false" ht="19.5" hidden="false" customHeight="true" outlineLevel="0" collapsed="false">
      <c r="B26" s="8" t="n">
        <f aca="false">'January 2026'!B28</f>
        <v>0</v>
      </c>
      <c r="C26" s="9"/>
      <c r="D26" s="9"/>
      <c r="E26" s="9" t="n">
        <f aca="false">SUM(C26:D26)</f>
        <v>0</v>
      </c>
      <c r="G26" s="9" t="n">
        <f aca="false">SUM('January 2026'!AH28,'February 2026'!AE28,'March 2026'!AH28,'April 2026'!AG28,'May 2026'!AH28,'June 2026'!AG28,'July 2026'!AH28,'August 2026'!AH28,'September 2026'!AG28,'October 2026'!AH28,'November 2026'!AG28,'December 2026'!AH28)</f>
        <v>0</v>
      </c>
      <c r="H26" s="9" t="n">
        <f aca="false">E26-G26</f>
        <v>0</v>
      </c>
      <c r="J26" s="9" t="n">
        <f aca="false">SUM(COUNTIF('January 2026'!C28:AG28,"H"),COUNTIF('February 2026'!C28:AD28,"H"),COUNTIF('March 2026'!C28:AG28,"H"),COUNTIF('April 2026'!C28:AF28,"H"),COUNTIF('May 2026'!C28:AG28,"H"),COUNTIF('June 2026'!C28:AF28,"H"),COUNTIF('July 2026'!C28:AG28,"H"),COUNTIF('August 2026'!C28:AG28,"H"),COUNTIF('September 2026'!C28:AF28,"H"),COUNTIF('October 2026'!C28:AG28,"H"),COUNTIF('November 2026'!C28:AF28,"H"),COUNTIF('December 2026'!C28:AG28,"H"))</f>
        <v>0</v>
      </c>
      <c r="K26" s="9" t="n">
        <f aca="false">SUM(COUNTIF('January 2026'!C28:AG28,"H1"),COUNTIF('February 2026'!C28:AD28,"H1"),COUNTIF('March 2026'!C28:AG28,"H1"),COUNTIF('April 2026'!C28:AF28,"H1"),COUNTIF('May 2026'!C28:AG28,"H1"),COUNTIF('June 2026'!C28:AF28,"H1"),COUNTIF('July 2026'!C28:AG28,"H1"),COUNTIF('August 2026'!C28:AG28,"H1"),COUNTIF('September 2026'!C28:AF28,"H1"),COUNTIF('October 2026'!C28:AG28,"H1"),COUNTIF('November 2026'!C28:AF28,"H1"),COUNTIF('December 2026'!C28:AG28,"H1"))</f>
        <v>0</v>
      </c>
      <c r="L26" s="9" t="n">
        <f aca="false">SUM(COUNTIF('January 2026'!C28:AG28,"H2"),COUNTIF('February 2026'!C28:AD28,"H2"),COUNTIF('March 2026'!C28:AG28,"H2"),COUNTIF('April 2026'!C28:AF28,"H2"),COUNTIF('May 2026'!C28:AG28,"H2"),COUNTIF('June 2026'!C28:AF28,"H2"),COUNTIF('July 2026'!C28:AG28,"H2"),COUNTIF('August 2026'!C28:AG28,"H2"),COUNTIF('September 2026'!C28:AF28,"H2"),COUNTIF('October 2026'!C28:AG28,"H2"),COUNTIF('November 2026'!C28:AF28,"H2"),COUNTIF('December 2026'!C28:AG28,"H2"))</f>
        <v>0</v>
      </c>
      <c r="M26" s="9" t="n">
        <f aca="false">SUM(COUNTIF('January 2026'!C28:AG28,"Q"),COUNTIF('February 2026'!C28:AD28,"Q"),COUNTIF('March 2026'!C28:AG28,"Q"),COUNTIF('April 2026'!C28:AF28,"Q"),COUNTIF('May 2026'!C28:AG28,"Q"),COUNTIF('June 2026'!C28:AF28,"Q"),COUNTIF('July 2026'!C28:AG28,"Q"),COUNTIF('August 2026'!C28:AG28,"Q"),COUNTIF('September 2026'!C28:AF28,"Q"),COUNTIF('October 2026'!C28:AG28,"Q"),COUNTIF('November 2026'!C28:AF28,"Q"),COUNTIF('December 2026'!C28:AG28,"Q"))</f>
        <v>0</v>
      </c>
      <c r="N26" s="9" t="n">
        <f aca="false">SUM(COUNTIF('January 2026'!C28:AG28,"I"),COUNTIF('February 2026'!C28:AD28,"I"),COUNTIF('March 2026'!C28:AG28,"I"),COUNTIF('April 2026'!C28:AF28,"I"),COUNTIF('May 2026'!C28:AG28,"I"),COUNTIF('June 2026'!C28:AF28,"I"),COUNTIF('July 2026'!C28:AG28,"I"),COUNTIF('August 2026'!C28:AG28,"I"),COUNTIF('September 2026'!C28:AF28,"I"),COUNTIF('October 2026'!C28:AG28,"I"),COUNTIF('November 2026'!C28:AF28,"I"),COUNTIF('December 2026'!C28:AG28,"I"))</f>
        <v>0</v>
      </c>
      <c r="O26" s="9" t="n">
        <f aca="false">SUM(COUNTIF('January 2026'!C28:AG28,"S"),COUNTIF('February 2026'!C28:AD28,"S"),COUNTIF('March 2026'!C28:AG28,"S"),COUNTIF('April 2026'!C28:AF28,"S"),COUNTIF('May 2026'!C28:AG28,"S"),COUNTIF('June 2026'!C28:AF28,"S"),COUNTIF('July 2026'!C28:AG28,"S"),COUNTIF('August 2026'!C28:AG28,"S"),COUNTIF('September 2026'!C28:AF28,"S"),COUNTIF('October 2026'!C28:AG28,"S"),COUNTIF('November 2026'!C28:AF28,"S"),COUNTIF('December 2026'!C28:AG28,"S"))</f>
        <v>0</v>
      </c>
      <c r="P26" s="9" t="n">
        <f aca="false">SUM(COUNTIF('January 2026'!C28:AG28,"M"),COUNTIF('February 2026'!C28:AD28,"M"),COUNTIF('March 2026'!C28:AG28,"M"),COUNTIF('April 2026'!C28:AF28,"M"),COUNTIF('May 2026'!C28:AG28,"M"),COUNTIF('June 2026'!C28:AF28,"M"),COUNTIF('July 2026'!C28:AG28,"M"),COUNTIF('August 2026'!C28:AG28,"M"),COUNTIF('September 2026'!C28:AF28,"M"),COUNTIF('October 2026'!C28:AG28,"M"),COUNTIF('November 2026'!C28:AF28,"M"),COUNTIF('December 2026'!C28:AG28,"M"))</f>
        <v>0</v>
      </c>
      <c r="Q26" s="9" t="n">
        <f aca="false">SUM(COUNTIF('January 2026'!C28:AG28,"C"),COUNTIF('February 2026'!C28:AD28,"C"),COUNTIF('March 2026'!C28:AG28,"C"),COUNTIF('April 2026'!C28:AF28,"C"),COUNTIF('May 2026'!C28:AG28,"C"),COUNTIF('June 2026'!C28:AF28,"C"),COUNTIF('July 2026'!C28:AG28,"C"),COUNTIF('August 2026'!C28:AG28,"C"),COUNTIF('September 2026'!C28:AF28,"C"),COUNTIF('October 2026'!C28:AG28,"C"),COUNTIF('November 2026'!C28:AF28,"C"),COUNTIF('December 2026'!C28:AG28,"C"))</f>
        <v>0</v>
      </c>
      <c r="R26" s="9" t="n">
        <f aca="false">SUM(COUNTIF('January 2026'!C28:AG28,"V"),COUNTIF('February 2026'!C28:AD28,"V"),COUNTIF('March 2026'!C28:AG28,"V"),COUNTIF('April 2026'!C28:AF28,"V"),COUNTIF('May 2026'!C28:AG28,"V"),COUNTIF('June 2026'!C28:AF28,"V"),COUNTIF('July 2026'!C28:AG28,"V"),COUNTIF('August 2026'!C28:AG28,"V"),COUNTIF('September 2026'!C28:AF28,"V"),COUNTIF('October 2026'!C28:AG28,"V"),COUNTIF('November 2026'!C28:AF28,"V"),COUNTIF('December 2026'!C28:AG28,"V"))</f>
        <v>0</v>
      </c>
      <c r="S26" s="9" t="n">
        <f aca="false">SUM(COUNTIF('January 2026'!C28:AG28,"A"),COUNTIF('February 2026'!C28:AD28,"A"),COUNTIF('March 2026'!C28:AG28,"A"),COUNTIF('April 2026'!C28:AF28,"A"),COUNTIF('May 2026'!C28:AG28,"A"),COUNTIF('June 2026'!C28:AF28,"A"),COUNTIF('July 2026'!C28:AG28,"A"),COUNTIF('August 2026'!C28:AG28,"A"),COUNTIF('September 2026'!C28:AF28,"A"),COUNTIF('October 2026'!C28:AG28,"A"),COUNTIF('November 2026'!C28:AF28,"A"),COUNTIF('December 2026'!C28:AG28,"A"))</f>
        <v>0</v>
      </c>
    </row>
    <row r="27" customFormat="false" ht="19.5" hidden="false" customHeight="true" outlineLevel="0" collapsed="false">
      <c r="B27" s="8" t="n">
        <f aca="false">'January 2026'!B29</f>
        <v>0</v>
      </c>
      <c r="C27" s="9"/>
      <c r="D27" s="9"/>
      <c r="E27" s="9" t="n">
        <f aca="false">SUM(C27:D27)</f>
        <v>0</v>
      </c>
      <c r="G27" s="9" t="n">
        <f aca="false">SUM('January 2026'!AH29,'February 2026'!AE29,'March 2026'!AH29,'April 2026'!AG29,'May 2026'!AH29,'June 2026'!AG29,'July 2026'!AH29,'August 2026'!AH29,'September 2026'!AG29,'October 2026'!AH29,'November 2026'!AG29,'December 2026'!AH29)</f>
        <v>0</v>
      </c>
      <c r="H27" s="9" t="n">
        <f aca="false">E27-G27</f>
        <v>0</v>
      </c>
      <c r="J27" s="9" t="n">
        <f aca="false">SUM(COUNTIF('January 2026'!C29:AG29,"H"),COUNTIF('February 2026'!C29:AD29,"H"),COUNTIF('March 2026'!C29:AG29,"H"),COUNTIF('April 2026'!C29:AF29,"H"),COUNTIF('May 2026'!C29:AG29,"H"),COUNTIF('June 2026'!C29:AF29,"H"),COUNTIF('July 2026'!C29:AG29,"H"),COUNTIF('August 2026'!C29:AG29,"H"),COUNTIF('September 2026'!C29:AF29,"H"),COUNTIF('October 2026'!C29:AG29,"H"),COUNTIF('November 2026'!C29:AF29,"H"),COUNTIF('December 2026'!C29:AG29,"H"))</f>
        <v>0</v>
      </c>
      <c r="K27" s="9" t="n">
        <f aca="false">SUM(COUNTIF('January 2026'!C29:AG29,"H1"),COUNTIF('February 2026'!C29:AD29,"H1"),COUNTIF('March 2026'!C29:AG29,"H1"),COUNTIF('April 2026'!C29:AF29,"H1"),COUNTIF('May 2026'!C29:AG29,"H1"),COUNTIF('June 2026'!C29:AF29,"H1"),COUNTIF('July 2026'!C29:AG29,"H1"),COUNTIF('August 2026'!C29:AG29,"H1"),COUNTIF('September 2026'!C29:AF29,"H1"),COUNTIF('October 2026'!C29:AG29,"H1"),COUNTIF('November 2026'!C29:AF29,"H1"),COUNTIF('December 2026'!C29:AG29,"H1"))</f>
        <v>0</v>
      </c>
      <c r="L27" s="9" t="n">
        <f aca="false">SUM(COUNTIF('January 2026'!C29:AG29,"H2"),COUNTIF('February 2026'!C29:AD29,"H2"),COUNTIF('March 2026'!C29:AG29,"H2"),COUNTIF('April 2026'!C29:AF29,"H2"),COUNTIF('May 2026'!C29:AG29,"H2"),COUNTIF('June 2026'!C29:AF29,"H2"),COUNTIF('July 2026'!C29:AG29,"H2"),COUNTIF('August 2026'!C29:AG29,"H2"),COUNTIF('September 2026'!C29:AF29,"H2"),COUNTIF('October 2026'!C29:AG29,"H2"),COUNTIF('November 2026'!C29:AF29,"H2"),COUNTIF('December 2026'!C29:AG29,"H2"))</f>
        <v>0</v>
      </c>
      <c r="M27" s="9" t="n">
        <f aca="false">SUM(COUNTIF('January 2026'!C29:AG29,"Q"),COUNTIF('February 2026'!C29:AD29,"Q"),COUNTIF('March 2026'!C29:AG29,"Q"),COUNTIF('April 2026'!C29:AF29,"Q"),COUNTIF('May 2026'!C29:AG29,"Q"),COUNTIF('June 2026'!C29:AF29,"Q"),COUNTIF('July 2026'!C29:AG29,"Q"),COUNTIF('August 2026'!C29:AG29,"Q"),COUNTIF('September 2026'!C29:AF29,"Q"),COUNTIF('October 2026'!C29:AG29,"Q"),COUNTIF('November 2026'!C29:AF29,"Q"),COUNTIF('December 2026'!C29:AG29,"Q"))</f>
        <v>0</v>
      </c>
      <c r="N27" s="9" t="n">
        <f aca="false">SUM(COUNTIF('January 2026'!C29:AG29,"I"),COUNTIF('February 2026'!C29:AD29,"I"),COUNTIF('March 2026'!C29:AG29,"I"),COUNTIF('April 2026'!C29:AF29,"I"),COUNTIF('May 2026'!C29:AG29,"I"),COUNTIF('June 2026'!C29:AF29,"I"),COUNTIF('July 2026'!C29:AG29,"I"),COUNTIF('August 2026'!C29:AG29,"I"),COUNTIF('September 2026'!C29:AF29,"I"),COUNTIF('October 2026'!C29:AG29,"I"),COUNTIF('November 2026'!C29:AF29,"I"),COUNTIF('December 2026'!C29:AG29,"I"))</f>
        <v>0</v>
      </c>
      <c r="O27" s="9" t="n">
        <f aca="false">SUM(COUNTIF('January 2026'!C29:AG29,"S"),COUNTIF('February 2026'!C29:AD29,"S"),COUNTIF('March 2026'!C29:AG29,"S"),COUNTIF('April 2026'!C29:AF29,"S"),COUNTIF('May 2026'!C29:AG29,"S"),COUNTIF('June 2026'!C29:AF29,"S"),COUNTIF('July 2026'!C29:AG29,"S"),COUNTIF('August 2026'!C29:AG29,"S"),COUNTIF('September 2026'!C29:AF29,"S"),COUNTIF('October 2026'!C29:AG29,"S"),COUNTIF('November 2026'!C29:AF29,"S"),COUNTIF('December 2026'!C29:AG29,"S"))</f>
        <v>0</v>
      </c>
      <c r="P27" s="9" t="n">
        <f aca="false">SUM(COUNTIF('January 2026'!C29:AG29,"M"),COUNTIF('February 2026'!C29:AD29,"M"),COUNTIF('March 2026'!C29:AG29,"M"),COUNTIF('April 2026'!C29:AF29,"M"),COUNTIF('May 2026'!C29:AG29,"M"),COUNTIF('June 2026'!C29:AF29,"M"),COUNTIF('July 2026'!C29:AG29,"M"),COUNTIF('August 2026'!C29:AG29,"M"),COUNTIF('September 2026'!C29:AF29,"M"),COUNTIF('October 2026'!C29:AG29,"M"),COUNTIF('November 2026'!C29:AF29,"M"),COUNTIF('December 2026'!C29:AG29,"M"))</f>
        <v>0</v>
      </c>
      <c r="Q27" s="9" t="n">
        <f aca="false">SUM(COUNTIF('January 2026'!C29:AG29,"C"),COUNTIF('February 2026'!C29:AD29,"C"),COUNTIF('March 2026'!C29:AG29,"C"),COUNTIF('April 2026'!C29:AF29,"C"),COUNTIF('May 2026'!C29:AG29,"C"),COUNTIF('June 2026'!C29:AF29,"C"),COUNTIF('July 2026'!C29:AG29,"C"),COUNTIF('August 2026'!C29:AG29,"C"),COUNTIF('September 2026'!C29:AF29,"C"),COUNTIF('October 2026'!C29:AG29,"C"),COUNTIF('November 2026'!C29:AF29,"C"),COUNTIF('December 2026'!C29:AG29,"C"))</f>
        <v>0</v>
      </c>
      <c r="R27" s="9" t="n">
        <f aca="false">SUM(COUNTIF('January 2026'!C29:AG29,"V"),COUNTIF('February 2026'!C29:AD29,"V"),COUNTIF('March 2026'!C29:AG29,"V"),COUNTIF('April 2026'!C29:AF29,"V"),COUNTIF('May 2026'!C29:AG29,"V"),COUNTIF('June 2026'!C29:AF29,"V"),COUNTIF('July 2026'!C29:AG29,"V"),COUNTIF('August 2026'!C29:AG29,"V"),COUNTIF('September 2026'!C29:AF29,"V"),COUNTIF('October 2026'!C29:AG29,"V"),COUNTIF('November 2026'!C29:AF29,"V"),COUNTIF('December 2026'!C29:AG29,"V"))</f>
        <v>0</v>
      </c>
      <c r="S27" s="9" t="n">
        <f aca="false">SUM(COUNTIF('January 2026'!C29:AG29,"A"),COUNTIF('February 2026'!C29:AD29,"A"),COUNTIF('March 2026'!C29:AG29,"A"),COUNTIF('April 2026'!C29:AF29,"A"),COUNTIF('May 2026'!C29:AG29,"A"),COUNTIF('June 2026'!C29:AF29,"A"),COUNTIF('July 2026'!C29:AG29,"A"),COUNTIF('August 2026'!C29:AG29,"A"),COUNTIF('September 2026'!C29:AF29,"A"),COUNTIF('October 2026'!C29:AG29,"A"),COUNTIF('November 2026'!C29:AF29,"A"),COUNTIF('December 2026'!C29:AG29,"A"))</f>
        <v>0</v>
      </c>
    </row>
    <row r="28" customFormat="false" ht="19.5" hidden="false" customHeight="true" outlineLevel="0" collapsed="false">
      <c r="B28" s="8" t="n">
        <f aca="false">'January 2026'!B30</f>
        <v>0</v>
      </c>
      <c r="C28" s="9"/>
      <c r="D28" s="9"/>
      <c r="E28" s="9" t="n">
        <f aca="false">SUM(C28:D28)</f>
        <v>0</v>
      </c>
      <c r="G28" s="9" t="n">
        <f aca="false">SUM('January 2026'!AH30,'February 2026'!AE30,'March 2026'!AH30,'April 2026'!AG30,'May 2026'!AH30,'June 2026'!AG30,'July 2026'!AH30,'August 2026'!AH30,'September 2026'!AG30,'October 2026'!AH30,'November 2026'!AG30,'December 2026'!AH30)</f>
        <v>0</v>
      </c>
      <c r="H28" s="9" t="n">
        <f aca="false">E28-G28</f>
        <v>0</v>
      </c>
      <c r="J28" s="9" t="n">
        <f aca="false">SUM(COUNTIF('January 2026'!C30:AG30,"H"),COUNTIF('February 2026'!C30:AD30,"H"),COUNTIF('March 2026'!C30:AG30,"H"),COUNTIF('April 2026'!C30:AF30,"H"),COUNTIF('May 2026'!C30:AG30,"H"),COUNTIF('June 2026'!C30:AF30,"H"),COUNTIF('July 2026'!C30:AG30,"H"),COUNTIF('August 2026'!C30:AG30,"H"),COUNTIF('September 2026'!C30:AF30,"H"),COUNTIF('October 2026'!C30:AG30,"H"),COUNTIF('November 2026'!C30:AF30,"H"),COUNTIF('December 2026'!C30:AG30,"H"))</f>
        <v>0</v>
      </c>
      <c r="K28" s="9" t="n">
        <f aca="false">SUM(COUNTIF('January 2026'!C30:AG30,"H1"),COUNTIF('February 2026'!C30:AD30,"H1"),COUNTIF('March 2026'!C30:AG30,"H1"),COUNTIF('April 2026'!C30:AF30,"H1"),COUNTIF('May 2026'!C30:AG30,"H1"),COUNTIF('June 2026'!C30:AF30,"H1"),COUNTIF('July 2026'!C30:AG30,"H1"),COUNTIF('August 2026'!C30:AG30,"H1"),COUNTIF('September 2026'!C30:AF30,"H1"),COUNTIF('October 2026'!C30:AG30,"H1"),COUNTIF('November 2026'!C30:AF30,"H1"),COUNTIF('December 2026'!C30:AG30,"H1"))</f>
        <v>0</v>
      </c>
      <c r="L28" s="9" t="n">
        <f aca="false">SUM(COUNTIF('January 2026'!C30:AG30,"H2"),COUNTIF('February 2026'!C30:AD30,"H2"),COUNTIF('March 2026'!C30:AG30,"H2"),COUNTIF('April 2026'!C30:AF30,"H2"),COUNTIF('May 2026'!C30:AG30,"H2"),COUNTIF('June 2026'!C30:AF30,"H2"),COUNTIF('July 2026'!C30:AG30,"H2"),COUNTIF('August 2026'!C30:AG30,"H2"),COUNTIF('September 2026'!C30:AF30,"H2"),COUNTIF('October 2026'!C30:AG30,"H2"),COUNTIF('November 2026'!C30:AF30,"H2"),COUNTIF('December 2026'!C30:AG30,"H2"))</f>
        <v>0</v>
      </c>
      <c r="M28" s="9" t="n">
        <f aca="false">SUM(COUNTIF('January 2026'!C30:AG30,"Q"),COUNTIF('February 2026'!C30:AD30,"Q"),COUNTIF('March 2026'!C30:AG30,"Q"),COUNTIF('April 2026'!C30:AF30,"Q"),COUNTIF('May 2026'!C30:AG30,"Q"),COUNTIF('June 2026'!C30:AF30,"Q"),COUNTIF('July 2026'!C30:AG30,"Q"),COUNTIF('August 2026'!C30:AG30,"Q"),COUNTIF('September 2026'!C30:AF30,"Q"),COUNTIF('October 2026'!C30:AG30,"Q"),COUNTIF('November 2026'!C30:AF30,"Q"),COUNTIF('December 2026'!C30:AG30,"Q"))</f>
        <v>0</v>
      </c>
      <c r="N28" s="9" t="n">
        <f aca="false">SUM(COUNTIF('January 2026'!C30:AG30,"I"),COUNTIF('February 2026'!C30:AD30,"I"),COUNTIF('March 2026'!C30:AG30,"I"),COUNTIF('April 2026'!C30:AF30,"I"),COUNTIF('May 2026'!C30:AG30,"I"),COUNTIF('June 2026'!C30:AF30,"I"),COUNTIF('July 2026'!C30:AG30,"I"),COUNTIF('August 2026'!C30:AG30,"I"),COUNTIF('September 2026'!C30:AF30,"I"),COUNTIF('October 2026'!C30:AG30,"I"),COUNTIF('November 2026'!C30:AF30,"I"),COUNTIF('December 2026'!C30:AG30,"I"))</f>
        <v>0</v>
      </c>
      <c r="O28" s="9" t="n">
        <f aca="false">SUM(COUNTIF('January 2026'!C30:AG30,"S"),COUNTIF('February 2026'!C30:AD30,"S"),COUNTIF('March 2026'!C30:AG30,"S"),COUNTIF('April 2026'!C30:AF30,"S"),COUNTIF('May 2026'!C30:AG30,"S"),COUNTIF('June 2026'!C30:AF30,"S"),COUNTIF('July 2026'!C30:AG30,"S"),COUNTIF('August 2026'!C30:AG30,"S"),COUNTIF('September 2026'!C30:AF30,"S"),COUNTIF('October 2026'!C30:AG30,"S"),COUNTIF('November 2026'!C30:AF30,"S"),COUNTIF('December 2026'!C30:AG30,"S"))</f>
        <v>0</v>
      </c>
      <c r="P28" s="9" t="n">
        <f aca="false">SUM(COUNTIF('January 2026'!C30:AG30,"M"),COUNTIF('February 2026'!C30:AD30,"M"),COUNTIF('March 2026'!C30:AG30,"M"),COUNTIF('April 2026'!C30:AF30,"M"),COUNTIF('May 2026'!C30:AG30,"M"),COUNTIF('June 2026'!C30:AF30,"M"),COUNTIF('July 2026'!C30:AG30,"M"),COUNTIF('August 2026'!C30:AG30,"M"),COUNTIF('September 2026'!C30:AF30,"M"),COUNTIF('October 2026'!C30:AG30,"M"),COUNTIF('November 2026'!C30:AF30,"M"),COUNTIF('December 2026'!C30:AG30,"M"))</f>
        <v>0</v>
      </c>
      <c r="Q28" s="9" t="n">
        <f aca="false">SUM(COUNTIF('January 2026'!C30:AG30,"C"),COUNTIF('February 2026'!C30:AD30,"C"),COUNTIF('March 2026'!C30:AG30,"C"),COUNTIF('April 2026'!C30:AF30,"C"),COUNTIF('May 2026'!C30:AG30,"C"),COUNTIF('June 2026'!C30:AF30,"C"),COUNTIF('July 2026'!C30:AG30,"C"),COUNTIF('August 2026'!C30:AG30,"C"),COUNTIF('September 2026'!C30:AF30,"C"),COUNTIF('October 2026'!C30:AG30,"C"),COUNTIF('November 2026'!C30:AF30,"C"),COUNTIF('December 2026'!C30:AG30,"C"))</f>
        <v>0</v>
      </c>
      <c r="R28" s="9" t="n">
        <f aca="false">SUM(COUNTIF('January 2026'!C30:AG30,"V"),COUNTIF('February 2026'!C30:AD30,"V"),COUNTIF('March 2026'!C30:AG30,"V"),COUNTIF('April 2026'!C30:AF30,"V"),COUNTIF('May 2026'!C30:AG30,"V"),COUNTIF('June 2026'!C30:AF30,"V"),COUNTIF('July 2026'!C30:AG30,"V"),COUNTIF('August 2026'!C30:AG30,"V"),COUNTIF('September 2026'!C30:AF30,"V"),COUNTIF('October 2026'!C30:AG30,"V"),COUNTIF('November 2026'!C30:AF30,"V"),COUNTIF('December 2026'!C30:AG30,"V"))</f>
        <v>0</v>
      </c>
      <c r="S28" s="9" t="n">
        <f aca="false">SUM(COUNTIF('January 2026'!C30:AG30,"A"),COUNTIF('February 2026'!C30:AD30,"A"),COUNTIF('March 2026'!C30:AG30,"A"),COUNTIF('April 2026'!C30:AF30,"A"),COUNTIF('May 2026'!C30:AG30,"A"),COUNTIF('June 2026'!C30:AF30,"A"),COUNTIF('July 2026'!C30:AG30,"A"),COUNTIF('August 2026'!C30:AG30,"A"),COUNTIF('September 2026'!C30:AF30,"A"),COUNTIF('October 2026'!C30:AG30,"A"),COUNTIF('November 2026'!C30:AF30,"A"),COUNTIF('December 2026'!C30:AG30,"A"))</f>
        <v>0</v>
      </c>
    </row>
    <row r="29" customFormat="false" ht="19.5" hidden="false" customHeight="true" outlineLevel="0" collapsed="false">
      <c r="B29" s="8" t="n">
        <f aca="false">'January 2026'!B31</f>
        <v>0</v>
      </c>
      <c r="C29" s="9"/>
      <c r="D29" s="9"/>
      <c r="E29" s="9" t="n">
        <f aca="false">SUM(C29:D29)</f>
        <v>0</v>
      </c>
      <c r="G29" s="9" t="n">
        <f aca="false">SUM('January 2026'!AH31,'February 2026'!AE31,'March 2026'!AH31,'April 2026'!AG31,'May 2026'!AH31,'June 2026'!AG31,'July 2026'!AH31,'August 2026'!AH31,'September 2026'!AG31,'October 2026'!AH31,'November 2026'!AG31,'December 2026'!AH31)</f>
        <v>0</v>
      </c>
      <c r="H29" s="9" t="n">
        <f aca="false">E29-G29</f>
        <v>0</v>
      </c>
      <c r="J29" s="9" t="n">
        <f aca="false">SUM(COUNTIF('January 2026'!C31:AG31,"H"),COUNTIF('February 2026'!C31:AD31,"H"),COUNTIF('March 2026'!C31:AG31,"H"),COUNTIF('April 2026'!C31:AF31,"H"),COUNTIF('May 2026'!C31:AG31,"H"),COUNTIF('June 2026'!C31:AF31,"H"),COUNTIF('July 2026'!C31:AG31,"H"),COUNTIF('August 2026'!C31:AG31,"H"),COUNTIF('September 2026'!C31:AF31,"H"),COUNTIF('October 2026'!C31:AG31,"H"),COUNTIF('November 2026'!C31:AF31,"H"),COUNTIF('December 2026'!C31:AG31,"H"))</f>
        <v>0</v>
      </c>
      <c r="K29" s="9" t="n">
        <f aca="false">SUM(COUNTIF('January 2026'!C31:AG31,"H1"),COUNTIF('February 2026'!C31:AD31,"H1"),COUNTIF('March 2026'!C31:AG31,"H1"),COUNTIF('April 2026'!C31:AF31,"H1"),COUNTIF('May 2026'!C31:AG31,"H1"),COUNTIF('June 2026'!C31:AF31,"H1"),COUNTIF('July 2026'!C31:AG31,"H1"),COUNTIF('August 2026'!C31:AG31,"H1"),COUNTIF('September 2026'!C31:AF31,"H1"),COUNTIF('October 2026'!C31:AG31,"H1"),COUNTIF('November 2026'!C31:AF31,"H1"),COUNTIF('December 2026'!C31:AG31,"H1"))</f>
        <v>0</v>
      </c>
      <c r="L29" s="9" t="n">
        <f aca="false">SUM(COUNTIF('January 2026'!C31:AG31,"H2"),COUNTIF('February 2026'!C31:AD31,"H2"),COUNTIF('March 2026'!C31:AG31,"H2"),COUNTIF('April 2026'!C31:AF31,"H2"),COUNTIF('May 2026'!C31:AG31,"H2"),COUNTIF('June 2026'!C31:AF31,"H2"),COUNTIF('July 2026'!C31:AG31,"H2"),COUNTIF('August 2026'!C31:AG31,"H2"),COUNTIF('September 2026'!C31:AF31,"H2"),COUNTIF('October 2026'!C31:AG31,"H2"),COUNTIF('November 2026'!C31:AF31,"H2"),COUNTIF('December 2026'!C31:AG31,"H2"))</f>
        <v>0</v>
      </c>
      <c r="M29" s="9" t="n">
        <f aca="false">SUM(COUNTIF('January 2026'!C31:AG31,"Q"),COUNTIF('February 2026'!C31:AD31,"Q"),COUNTIF('March 2026'!C31:AG31,"Q"),COUNTIF('April 2026'!C31:AF31,"Q"),COUNTIF('May 2026'!C31:AG31,"Q"),COUNTIF('June 2026'!C31:AF31,"Q"),COUNTIF('July 2026'!C31:AG31,"Q"),COUNTIF('August 2026'!C31:AG31,"Q"),COUNTIF('September 2026'!C31:AF31,"Q"),COUNTIF('October 2026'!C31:AG31,"Q"),COUNTIF('November 2026'!C31:AF31,"Q"),COUNTIF('December 2026'!C31:AG31,"Q"))</f>
        <v>0</v>
      </c>
      <c r="N29" s="9" t="n">
        <f aca="false">SUM(COUNTIF('January 2026'!C31:AG31,"I"),COUNTIF('February 2026'!C31:AD31,"I"),COUNTIF('March 2026'!C31:AG31,"I"),COUNTIF('April 2026'!C31:AF31,"I"),COUNTIF('May 2026'!C31:AG31,"I"),COUNTIF('June 2026'!C31:AF31,"I"),COUNTIF('July 2026'!C31:AG31,"I"),COUNTIF('August 2026'!C31:AG31,"I"),COUNTIF('September 2026'!C31:AF31,"I"),COUNTIF('October 2026'!C31:AG31,"I"),COUNTIF('November 2026'!C31:AF31,"I"),COUNTIF('December 2026'!C31:AG31,"I"))</f>
        <v>0</v>
      </c>
      <c r="O29" s="9" t="n">
        <f aca="false">SUM(COUNTIF('January 2026'!C31:AG31,"S"),COUNTIF('February 2026'!C31:AD31,"S"),COUNTIF('March 2026'!C31:AG31,"S"),COUNTIF('April 2026'!C31:AF31,"S"),COUNTIF('May 2026'!C31:AG31,"S"),COUNTIF('June 2026'!C31:AF31,"S"),COUNTIF('July 2026'!C31:AG31,"S"),COUNTIF('August 2026'!C31:AG31,"S"),COUNTIF('September 2026'!C31:AF31,"S"),COUNTIF('October 2026'!C31:AG31,"S"),COUNTIF('November 2026'!C31:AF31,"S"),COUNTIF('December 2026'!C31:AG31,"S"))</f>
        <v>0</v>
      </c>
      <c r="P29" s="9" t="n">
        <f aca="false">SUM(COUNTIF('January 2026'!C31:AG31,"M"),COUNTIF('February 2026'!C31:AD31,"M"),COUNTIF('March 2026'!C31:AG31,"M"),COUNTIF('April 2026'!C31:AF31,"M"),COUNTIF('May 2026'!C31:AG31,"M"),COUNTIF('June 2026'!C31:AF31,"M"),COUNTIF('July 2026'!C31:AG31,"M"),COUNTIF('August 2026'!C31:AG31,"M"),COUNTIF('September 2026'!C31:AF31,"M"),COUNTIF('October 2026'!C31:AG31,"M"),COUNTIF('November 2026'!C31:AF31,"M"),COUNTIF('December 2026'!C31:AG31,"M"))</f>
        <v>0</v>
      </c>
      <c r="Q29" s="9" t="n">
        <f aca="false">SUM(COUNTIF('January 2026'!C31:AG31,"C"),COUNTIF('February 2026'!C31:AD31,"C"),COUNTIF('March 2026'!C31:AG31,"C"),COUNTIF('April 2026'!C31:AF31,"C"),COUNTIF('May 2026'!C31:AG31,"C"),COUNTIF('June 2026'!C31:AF31,"C"),COUNTIF('July 2026'!C31:AG31,"C"),COUNTIF('August 2026'!C31:AG31,"C"),COUNTIF('September 2026'!C31:AF31,"C"),COUNTIF('October 2026'!C31:AG31,"C"),COUNTIF('November 2026'!C31:AF31,"C"),COUNTIF('December 2026'!C31:AG31,"C"))</f>
        <v>0</v>
      </c>
      <c r="R29" s="9" t="n">
        <f aca="false">SUM(COUNTIF('January 2026'!C31:AG31,"V"),COUNTIF('February 2026'!C31:AD31,"V"),COUNTIF('March 2026'!C31:AG31,"V"),COUNTIF('April 2026'!C31:AF31,"V"),COUNTIF('May 2026'!C31:AG31,"V"),COUNTIF('June 2026'!C31:AF31,"V"),COUNTIF('July 2026'!C31:AG31,"V"),COUNTIF('August 2026'!C31:AG31,"V"),COUNTIF('September 2026'!C31:AF31,"V"),COUNTIF('October 2026'!C31:AG31,"V"),COUNTIF('November 2026'!C31:AF31,"V"),COUNTIF('December 2026'!C31:AG31,"V"))</f>
        <v>0</v>
      </c>
      <c r="S29" s="9" t="n">
        <f aca="false">SUM(COUNTIF('January 2026'!C31:AG31,"A"),COUNTIF('February 2026'!C31:AD31,"A"),COUNTIF('March 2026'!C31:AG31,"A"),COUNTIF('April 2026'!C31:AF31,"A"),COUNTIF('May 2026'!C31:AG31,"A"),COUNTIF('June 2026'!C31:AF31,"A"),COUNTIF('July 2026'!C31:AG31,"A"),COUNTIF('August 2026'!C31:AG31,"A"),COUNTIF('September 2026'!C31:AF31,"A"),COUNTIF('October 2026'!C31:AG31,"A"),COUNTIF('November 2026'!C31:AF31,"A"),COUNTIF('December 2026'!C31:AG31,"A"))</f>
        <v>0</v>
      </c>
    </row>
    <row r="30" customFormat="false" ht="19.5" hidden="false" customHeight="true" outlineLevel="0" collapsed="false">
      <c r="B30" s="8" t="n">
        <f aca="false">'January 2026'!B32</f>
        <v>0</v>
      </c>
      <c r="C30" s="9"/>
      <c r="D30" s="9"/>
      <c r="E30" s="9" t="n">
        <f aca="false">SUM(C30:D30)</f>
        <v>0</v>
      </c>
      <c r="G30" s="9" t="n">
        <f aca="false">SUM('January 2026'!AH32,'February 2026'!AE32,'March 2026'!AH32,'April 2026'!AG32,'May 2026'!AH32,'June 2026'!AG32,'July 2026'!AH32,'August 2026'!AH32,'September 2026'!AG32,'October 2026'!AH32,'November 2026'!AG32,'December 2026'!AH32)</f>
        <v>0</v>
      </c>
      <c r="H30" s="9" t="n">
        <f aca="false">E30-G30</f>
        <v>0</v>
      </c>
      <c r="J30" s="9" t="n">
        <f aca="false">SUM(COUNTIF('January 2026'!C32:AG32,"H"),COUNTIF('February 2026'!C32:AD32,"H"),COUNTIF('March 2026'!C32:AG32,"H"),COUNTIF('April 2026'!C32:AF32,"H"),COUNTIF('May 2026'!C32:AG32,"H"),COUNTIF('June 2026'!C32:AF32,"H"),COUNTIF('July 2026'!C32:AG32,"H"),COUNTIF('August 2026'!C32:AG32,"H"),COUNTIF('September 2026'!C32:AF32,"H"),COUNTIF('October 2026'!C32:AG32,"H"),COUNTIF('November 2026'!C32:AF32,"H"),COUNTIF('December 2026'!C32:AG32,"H"))</f>
        <v>0</v>
      </c>
      <c r="K30" s="9" t="n">
        <f aca="false">SUM(COUNTIF('January 2026'!C32:AG32,"H1"),COUNTIF('February 2026'!C32:AD32,"H1"),COUNTIF('March 2026'!C32:AG32,"H1"),COUNTIF('April 2026'!C32:AF32,"H1"),COUNTIF('May 2026'!C32:AG32,"H1"),COUNTIF('June 2026'!C32:AF32,"H1"),COUNTIF('July 2026'!C32:AG32,"H1"),COUNTIF('August 2026'!C32:AG32,"H1"),COUNTIF('September 2026'!C32:AF32,"H1"),COUNTIF('October 2026'!C32:AG32,"H1"),COUNTIF('November 2026'!C32:AF32,"H1"),COUNTIF('December 2026'!C32:AG32,"H1"))</f>
        <v>0</v>
      </c>
      <c r="L30" s="9" t="n">
        <f aca="false">SUM(COUNTIF('January 2026'!C32:AG32,"H2"),COUNTIF('February 2026'!C32:AD32,"H2"),COUNTIF('March 2026'!C32:AG32,"H2"),COUNTIF('April 2026'!C32:AF32,"H2"),COUNTIF('May 2026'!C32:AG32,"H2"),COUNTIF('June 2026'!C32:AF32,"H2"),COUNTIF('July 2026'!C32:AG32,"H2"),COUNTIF('August 2026'!C32:AG32,"H2"),COUNTIF('September 2026'!C32:AF32,"H2"),COUNTIF('October 2026'!C32:AG32,"H2"),COUNTIF('November 2026'!C32:AF32,"H2"),COUNTIF('December 2026'!C32:AG32,"H2"))</f>
        <v>0</v>
      </c>
      <c r="M30" s="9" t="n">
        <f aca="false">SUM(COUNTIF('January 2026'!C32:AG32,"Q"),COUNTIF('February 2026'!C32:AD32,"Q"),COUNTIF('March 2026'!C32:AG32,"Q"),COUNTIF('April 2026'!C32:AF32,"Q"),COUNTIF('May 2026'!C32:AG32,"Q"),COUNTIF('June 2026'!C32:AF32,"Q"),COUNTIF('July 2026'!C32:AG32,"Q"),COUNTIF('August 2026'!C32:AG32,"Q"),COUNTIF('September 2026'!C32:AF32,"Q"),COUNTIF('October 2026'!C32:AG32,"Q"),COUNTIF('November 2026'!C32:AF32,"Q"),COUNTIF('December 2026'!C32:AG32,"Q"))</f>
        <v>0</v>
      </c>
      <c r="N30" s="9" t="n">
        <f aca="false">SUM(COUNTIF('January 2026'!C32:AG32,"I"),COUNTIF('February 2026'!C32:AD32,"I"),COUNTIF('March 2026'!C32:AG32,"I"),COUNTIF('April 2026'!C32:AF32,"I"),COUNTIF('May 2026'!C32:AG32,"I"),COUNTIF('June 2026'!C32:AF32,"I"),COUNTIF('July 2026'!C32:AG32,"I"),COUNTIF('August 2026'!C32:AG32,"I"),COUNTIF('September 2026'!C32:AF32,"I"),COUNTIF('October 2026'!C32:AG32,"I"),COUNTIF('November 2026'!C32:AF32,"I"),COUNTIF('December 2026'!C32:AG32,"I"))</f>
        <v>0</v>
      </c>
      <c r="O30" s="9" t="n">
        <f aca="false">SUM(COUNTIF('January 2026'!C32:AG32,"S"),COUNTIF('February 2026'!C32:AD32,"S"),COUNTIF('March 2026'!C32:AG32,"S"),COUNTIF('April 2026'!C32:AF32,"S"),COUNTIF('May 2026'!C32:AG32,"S"),COUNTIF('June 2026'!C32:AF32,"S"),COUNTIF('July 2026'!C32:AG32,"S"),COUNTIF('August 2026'!C32:AG32,"S"),COUNTIF('September 2026'!C32:AF32,"S"),COUNTIF('October 2026'!C32:AG32,"S"),COUNTIF('November 2026'!C32:AF32,"S"),COUNTIF('December 2026'!C32:AG32,"S"))</f>
        <v>0</v>
      </c>
      <c r="P30" s="9" t="n">
        <f aca="false">SUM(COUNTIF('January 2026'!C32:AG32,"M"),COUNTIF('February 2026'!C32:AD32,"M"),COUNTIF('March 2026'!C32:AG32,"M"),COUNTIF('April 2026'!C32:AF32,"M"),COUNTIF('May 2026'!C32:AG32,"M"),COUNTIF('June 2026'!C32:AF32,"M"),COUNTIF('July 2026'!C32:AG32,"M"),COUNTIF('August 2026'!C32:AG32,"M"),COUNTIF('September 2026'!C32:AF32,"M"),COUNTIF('October 2026'!C32:AG32,"M"),COUNTIF('November 2026'!C32:AF32,"M"),COUNTIF('December 2026'!C32:AG32,"M"))</f>
        <v>0</v>
      </c>
      <c r="Q30" s="9" t="n">
        <f aca="false">SUM(COUNTIF('January 2026'!C32:AG32,"C"),COUNTIF('February 2026'!C32:AD32,"C"),COUNTIF('March 2026'!C32:AG32,"C"),COUNTIF('April 2026'!C32:AF32,"C"),COUNTIF('May 2026'!C32:AG32,"C"),COUNTIF('June 2026'!C32:AF32,"C"),COUNTIF('July 2026'!C32:AG32,"C"),COUNTIF('August 2026'!C32:AG32,"C"),COUNTIF('September 2026'!C32:AF32,"C"),COUNTIF('October 2026'!C32:AG32,"C"),COUNTIF('November 2026'!C32:AF32,"C"),COUNTIF('December 2026'!C32:AG32,"C"))</f>
        <v>0</v>
      </c>
      <c r="R30" s="9" t="n">
        <f aca="false">SUM(COUNTIF('January 2026'!C32:AG32,"V"),COUNTIF('February 2026'!C32:AD32,"V"),COUNTIF('March 2026'!C32:AG32,"V"),COUNTIF('April 2026'!C32:AF32,"V"),COUNTIF('May 2026'!C32:AG32,"V"),COUNTIF('June 2026'!C32:AF32,"V"),COUNTIF('July 2026'!C32:AG32,"V"),COUNTIF('August 2026'!C32:AG32,"V"),COUNTIF('September 2026'!C32:AF32,"V"),COUNTIF('October 2026'!C32:AG32,"V"),COUNTIF('November 2026'!C32:AF32,"V"),COUNTIF('December 2026'!C32:AG32,"V"))</f>
        <v>0</v>
      </c>
      <c r="S30" s="9" t="n">
        <f aca="false">SUM(COUNTIF('January 2026'!C32:AG32,"A"),COUNTIF('February 2026'!C32:AD32,"A"),COUNTIF('March 2026'!C32:AG32,"A"),COUNTIF('April 2026'!C32:AF32,"A"),COUNTIF('May 2026'!C32:AG32,"A"),COUNTIF('June 2026'!C32:AF32,"A"),COUNTIF('July 2026'!C32:AG32,"A"),COUNTIF('August 2026'!C32:AG32,"A"),COUNTIF('September 2026'!C32:AF32,"A"),COUNTIF('October 2026'!C32:AG32,"A"),COUNTIF('November 2026'!C32:AF32,"A"),COUNTIF('December 2026'!C32:AG32,"A"))</f>
        <v>0</v>
      </c>
    </row>
    <row r="31" customFormat="false" ht="19.5" hidden="false" customHeight="true" outlineLevel="0" collapsed="false">
      <c r="B31" s="8" t="n">
        <f aca="false">'January 2026'!B33</f>
        <v>0</v>
      </c>
      <c r="C31" s="9"/>
      <c r="D31" s="9"/>
      <c r="E31" s="9" t="n">
        <f aca="false">SUM(C31:D31)</f>
        <v>0</v>
      </c>
      <c r="G31" s="9" t="n">
        <f aca="false">SUM('January 2026'!AH33,'February 2026'!AE33,'March 2026'!AH33,'April 2026'!AG33,'May 2026'!AH33,'June 2026'!AG33,'July 2026'!AH33,'August 2026'!AH33,'September 2026'!AG33,'October 2026'!AH33,'November 2026'!AG33,'December 2026'!AH33)</f>
        <v>0</v>
      </c>
      <c r="H31" s="9" t="n">
        <f aca="false">E31-G31</f>
        <v>0</v>
      </c>
      <c r="J31" s="9" t="n">
        <f aca="false">SUM(COUNTIF('January 2026'!C33:AG33,"H"),COUNTIF('February 2026'!C33:AD33,"H"),COUNTIF('March 2026'!C33:AG33,"H"),COUNTIF('April 2026'!C33:AF33,"H"),COUNTIF('May 2026'!C33:AG33,"H"),COUNTIF('June 2026'!C33:AF33,"H"),COUNTIF('July 2026'!C33:AG33,"H"),COUNTIF('August 2026'!C33:AG33,"H"),COUNTIF('September 2026'!C33:AF33,"H"),COUNTIF('October 2026'!C33:AG33,"H"),COUNTIF('November 2026'!C33:AF33,"H"),COUNTIF('December 2026'!C33:AG33,"H"))</f>
        <v>0</v>
      </c>
      <c r="K31" s="9" t="n">
        <f aca="false">SUM(COUNTIF('January 2026'!C33:AG33,"H1"),COUNTIF('February 2026'!C33:AD33,"H1"),COUNTIF('March 2026'!C33:AG33,"H1"),COUNTIF('April 2026'!C33:AF33,"H1"),COUNTIF('May 2026'!C33:AG33,"H1"),COUNTIF('June 2026'!C33:AF33,"H1"),COUNTIF('July 2026'!C33:AG33,"H1"),COUNTIF('August 2026'!C33:AG33,"H1"),COUNTIF('September 2026'!C33:AF33,"H1"),COUNTIF('October 2026'!C33:AG33,"H1"),COUNTIF('November 2026'!C33:AF33,"H1"),COUNTIF('December 2026'!C33:AG33,"H1"))</f>
        <v>0</v>
      </c>
      <c r="L31" s="9" t="n">
        <f aca="false">SUM(COUNTIF('January 2026'!C33:AG33,"H2"),COUNTIF('February 2026'!C33:AD33,"H2"),COUNTIF('March 2026'!C33:AG33,"H2"),COUNTIF('April 2026'!C33:AF33,"H2"),COUNTIF('May 2026'!C33:AG33,"H2"),COUNTIF('June 2026'!C33:AF33,"H2"),COUNTIF('July 2026'!C33:AG33,"H2"),COUNTIF('August 2026'!C33:AG33,"H2"),COUNTIF('September 2026'!C33:AF33,"H2"),COUNTIF('October 2026'!C33:AG33,"H2"),COUNTIF('November 2026'!C33:AF33,"H2"),COUNTIF('December 2026'!C33:AG33,"H2"))</f>
        <v>0</v>
      </c>
      <c r="M31" s="9" t="n">
        <f aca="false">SUM(COUNTIF('January 2026'!C33:AG33,"Q"),COUNTIF('February 2026'!C33:AD33,"Q"),COUNTIF('March 2026'!C33:AG33,"Q"),COUNTIF('April 2026'!C33:AF33,"Q"),COUNTIF('May 2026'!C33:AG33,"Q"),COUNTIF('June 2026'!C33:AF33,"Q"),COUNTIF('July 2026'!C33:AG33,"Q"),COUNTIF('August 2026'!C33:AG33,"Q"),COUNTIF('September 2026'!C33:AF33,"Q"),COUNTIF('October 2026'!C33:AG33,"Q"),COUNTIF('November 2026'!C33:AF33,"Q"),COUNTIF('December 2026'!C33:AG33,"Q"))</f>
        <v>0</v>
      </c>
      <c r="N31" s="9" t="n">
        <f aca="false">SUM(COUNTIF('January 2026'!C33:AG33,"I"),COUNTIF('February 2026'!C33:AD33,"I"),COUNTIF('March 2026'!C33:AG33,"I"),COUNTIF('April 2026'!C33:AF33,"I"),COUNTIF('May 2026'!C33:AG33,"I"),COUNTIF('June 2026'!C33:AF33,"I"),COUNTIF('July 2026'!C33:AG33,"I"),COUNTIF('August 2026'!C33:AG33,"I"),COUNTIF('September 2026'!C33:AF33,"I"),COUNTIF('October 2026'!C33:AG33,"I"),COUNTIF('November 2026'!C33:AF33,"I"),COUNTIF('December 2026'!C33:AG33,"I"))</f>
        <v>0</v>
      </c>
      <c r="O31" s="9" t="n">
        <f aca="false">SUM(COUNTIF('January 2026'!C33:AG33,"S"),COUNTIF('February 2026'!C33:AD33,"S"),COUNTIF('March 2026'!C33:AG33,"S"),COUNTIF('April 2026'!C33:AF33,"S"),COUNTIF('May 2026'!C33:AG33,"S"),COUNTIF('June 2026'!C33:AF33,"S"),COUNTIF('July 2026'!C33:AG33,"S"),COUNTIF('August 2026'!C33:AG33,"S"),COUNTIF('September 2026'!C33:AF33,"S"),COUNTIF('October 2026'!C33:AG33,"S"),COUNTIF('November 2026'!C33:AF33,"S"),COUNTIF('December 2026'!C33:AG33,"S"))</f>
        <v>0</v>
      </c>
      <c r="P31" s="9" t="n">
        <f aca="false">SUM(COUNTIF('January 2026'!C33:AG33,"M"),COUNTIF('February 2026'!C33:AD33,"M"),COUNTIF('March 2026'!C33:AG33,"M"),COUNTIF('April 2026'!C33:AF33,"M"),COUNTIF('May 2026'!C33:AG33,"M"),COUNTIF('June 2026'!C33:AF33,"M"),COUNTIF('July 2026'!C33:AG33,"M"),COUNTIF('August 2026'!C33:AG33,"M"),COUNTIF('September 2026'!C33:AF33,"M"),COUNTIF('October 2026'!C33:AG33,"M"),COUNTIF('November 2026'!C33:AF33,"M"),COUNTIF('December 2026'!C33:AG33,"M"))</f>
        <v>0</v>
      </c>
      <c r="Q31" s="9" t="n">
        <f aca="false">SUM(COUNTIF('January 2026'!C33:AG33,"C"),COUNTIF('February 2026'!C33:AD33,"C"),COUNTIF('March 2026'!C33:AG33,"C"),COUNTIF('April 2026'!C33:AF33,"C"),COUNTIF('May 2026'!C33:AG33,"C"),COUNTIF('June 2026'!C33:AF33,"C"),COUNTIF('July 2026'!C33:AG33,"C"),COUNTIF('August 2026'!C33:AG33,"C"),COUNTIF('September 2026'!C33:AF33,"C"),COUNTIF('October 2026'!C33:AG33,"C"),COUNTIF('November 2026'!C33:AF33,"C"),COUNTIF('December 2026'!C33:AG33,"C"))</f>
        <v>0</v>
      </c>
      <c r="R31" s="9" t="n">
        <f aca="false">SUM(COUNTIF('January 2026'!C33:AG33,"V"),COUNTIF('February 2026'!C33:AD33,"V"),COUNTIF('March 2026'!C33:AG33,"V"),COUNTIF('April 2026'!C33:AF33,"V"),COUNTIF('May 2026'!C33:AG33,"V"),COUNTIF('June 2026'!C33:AF33,"V"),COUNTIF('July 2026'!C33:AG33,"V"),COUNTIF('August 2026'!C33:AG33,"V"),COUNTIF('September 2026'!C33:AF33,"V"),COUNTIF('October 2026'!C33:AG33,"V"),COUNTIF('November 2026'!C33:AF33,"V"),COUNTIF('December 2026'!C33:AG33,"V"))</f>
        <v>0</v>
      </c>
      <c r="S31" s="9" t="n">
        <f aca="false">SUM(COUNTIF('January 2026'!C33:AG33,"A"),COUNTIF('February 2026'!C33:AD33,"A"),COUNTIF('March 2026'!C33:AG33,"A"),COUNTIF('April 2026'!C33:AF33,"A"),COUNTIF('May 2026'!C33:AG33,"A"),COUNTIF('June 2026'!C33:AF33,"A"),COUNTIF('July 2026'!C33:AG33,"A"),COUNTIF('August 2026'!C33:AG33,"A"),COUNTIF('September 2026'!C33:AF33,"A"),COUNTIF('October 2026'!C33:AG33,"A"),COUNTIF('November 2026'!C33:AF33,"A"),COUNTIF('December 2026'!C33:AG33,"A"))</f>
        <v>0</v>
      </c>
    </row>
    <row r="32" customFormat="false" ht="19.5" hidden="false" customHeight="true" outlineLevel="0" collapsed="false">
      <c r="B32" s="8" t="n">
        <f aca="false">'January 2026'!B34</f>
        <v>0</v>
      </c>
      <c r="C32" s="9"/>
      <c r="D32" s="9"/>
      <c r="E32" s="9" t="n">
        <f aca="false">SUM(C32:D32)</f>
        <v>0</v>
      </c>
      <c r="G32" s="9" t="n">
        <f aca="false">SUM('January 2026'!AH34,'February 2026'!AE34,'March 2026'!AH34,'April 2026'!AG34,'May 2026'!AH34,'June 2026'!AG34,'July 2026'!AH34,'August 2026'!AH34,'September 2026'!AG34,'October 2026'!AH34,'November 2026'!AG34,'December 2026'!AH34)</f>
        <v>0</v>
      </c>
      <c r="H32" s="9" t="n">
        <f aca="false">E32-G32</f>
        <v>0</v>
      </c>
      <c r="J32" s="9" t="n">
        <f aca="false">SUM(COUNTIF('January 2026'!C34:AG34,"H"),COUNTIF('February 2026'!C34:AD34,"H"),COUNTIF('March 2026'!C34:AG34,"H"),COUNTIF('April 2026'!C34:AF34,"H"),COUNTIF('May 2026'!C34:AG34,"H"),COUNTIF('June 2026'!C34:AF34,"H"),COUNTIF('July 2026'!C34:AG34,"H"),COUNTIF('August 2026'!C34:AG34,"H"),COUNTIF('September 2026'!C34:AF34,"H"),COUNTIF('October 2026'!C34:AG34,"H"),COUNTIF('November 2026'!C34:AF34,"H"),COUNTIF('December 2026'!C34:AG34,"H"))</f>
        <v>0</v>
      </c>
      <c r="K32" s="9" t="n">
        <f aca="false">SUM(COUNTIF('January 2026'!C34:AG34,"H1"),COUNTIF('February 2026'!C34:AD34,"H1"),COUNTIF('March 2026'!C34:AG34,"H1"),COUNTIF('April 2026'!C34:AF34,"H1"),COUNTIF('May 2026'!C34:AG34,"H1"),COUNTIF('June 2026'!C34:AF34,"H1"),COUNTIF('July 2026'!C34:AG34,"H1"),COUNTIF('August 2026'!C34:AG34,"H1"),COUNTIF('September 2026'!C34:AF34,"H1"),COUNTIF('October 2026'!C34:AG34,"H1"),COUNTIF('November 2026'!C34:AF34,"H1"),COUNTIF('December 2026'!C34:AG34,"H1"))</f>
        <v>0</v>
      </c>
      <c r="L32" s="9" t="n">
        <f aca="false">SUM(COUNTIF('January 2026'!C34:AG34,"H2"),COUNTIF('February 2026'!C34:AD34,"H2"),COUNTIF('March 2026'!C34:AG34,"H2"),COUNTIF('April 2026'!C34:AF34,"H2"),COUNTIF('May 2026'!C34:AG34,"H2"),COUNTIF('June 2026'!C34:AF34,"H2"),COUNTIF('July 2026'!C34:AG34,"H2"),COUNTIF('August 2026'!C34:AG34,"H2"),COUNTIF('September 2026'!C34:AF34,"H2"),COUNTIF('October 2026'!C34:AG34,"H2"),COUNTIF('November 2026'!C34:AF34,"H2"),COUNTIF('December 2026'!C34:AG34,"H2"))</f>
        <v>0</v>
      </c>
      <c r="M32" s="9" t="n">
        <f aca="false">SUM(COUNTIF('January 2026'!C34:AG34,"Q"),COUNTIF('February 2026'!C34:AD34,"Q"),COUNTIF('March 2026'!C34:AG34,"Q"),COUNTIF('April 2026'!C34:AF34,"Q"),COUNTIF('May 2026'!C34:AG34,"Q"),COUNTIF('June 2026'!C34:AF34,"Q"),COUNTIF('July 2026'!C34:AG34,"Q"),COUNTIF('August 2026'!C34:AG34,"Q"),COUNTIF('September 2026'!C34:AF34,"Q"),COUNTIF('October 2026'!C34:AG34,"Q"),COUNTIF('November 2026'!C34:AF34,"Q"),COUNTIF('December 2026'!C34:AG34,"Q"))</f>
        <v>0</v>
      </c>
      <c r="N32" s="9" t="n">
        <f aca="false">SUM(COUNTIF('January 2026'!C34:AG34,"I"),COUNTIF('February 2026'!C34:AD34,"I"),COUNTIF('March 2026'!C34:AG34,"I"),COUNTIF('April 2026'!C34:AF34,"I"),COUNTIF('May 2026'!C34:AG34,"I"),COUNTIF('June 2026'!C34:AF34,"I"),COUNTIF('July 2026'!C34:AG34,"I"),COUNTIF('August 2026'!C34:AG34,"I"),COUNTIF('September 2026'!C34:AF34,"I"),COUNTIF('October 2026'!C34:AG34,"I"),COUNTIF('November 2026'!C34:AF34,"I"),COUNTIF('December 2026'!C34:AG34,"I"))</f>
        <v>0</v>
      </c>
      <c r="O32" s="9" t="n">
        <f aca="false">SUM(COUNTIF('January 2026'!C34:AG34,"S"),COUNTIF('February 2026'!C34:AD34,"S"),COUNTIF('March 2026'!C34:AG34,"S"),COUNTIF('April 2026'!C34:AF34,"S"),COUNTIF('May 2026'!C34:AG34,"S"),COUNTIF('June 2026'!C34:AF34,"S"),COUNTIF('July 2026'!C34:AG34,"S"),COUNTIF('August 2026'!C34:AG34,"S"),COUNTIF('September 2026'!C34:AF34,"S"),COUNTIF('October 2026'!C34:AG34,"S"),COUNTIF('November 2026'!C34:AF34,"S"),COUNTIF('December 2026'!C34:AG34,"S"))</f>
        <v>0</v>
      </c>
      <c r="P32" s="9" t="n">
        <f aca="false">SUM(COUNTIF('January 2026'!C34:AG34,"M"),COUNTIF('February 2026'!C34:AD34,"M"),COUNTIF('March 2026'!C34:AG34,"M"),COUNTIF('April 2026'!C34:AF34,"M"),COUNTIF('May 2026'!C34:AG34,"M"),COUNTIF('June 2026'!C34:AF34,"M"),COUNTIF('July 2026'!C34:AG34,"M"),COUNTIF('August 2026'!C34:AG34,"M"),COUNTIF('September 2026'!C34:AF34,"M"),COUNTIF('October 2026'!C34:AG34,"M"),COUNTIF('November 2026'!C34:AF34,"M"),COUNTIF('December 2026'!C34:AG34,"M"))</f>
        <v>0</v>
      </c>
      <c r="Q32" s="9" t="n">
        <f aca="false">SUM(COUNTIF('January 2026'!C34:AG34,"C"),COUNTIF('February 2026'!C34:AD34,"C"),COUNTIF('March 2026'!C34:AG34,"C"),COUNTIF('April 2026'!C34:AF34,"C"),COUNTIF('May 2026'!C34:AG34,"C"),COUNTIF('June 2026'!C34:AF34,"C"),COUNTIF('July 2026'!C34:AG34,"C"),COUNTIF('August 2026'!C34:AG34,"C"),COUNTIF('September 2026'!C34:AF34,"C"),COUNTIF('October 2026'!C34:AG34,"C"),COUNTIF('November 2026'!C34:AF34,"C"),COUNTIF('December 2026'!C34:AG34,"C"))</f>
        <v>0</v>
      </c>
      <c r="R32" s="9" t="n">
        <f aca="false">SUM(COUNTIF('January 2026'!C34:AG34,"V"),COUNTIF('February 2026'!C34:AD34,"V"),COUNTIF('March 2026'!C34:AG34,"V"),COUNTIF('April 2026'!C34:AF34,"V"),COUNTIF('May 2026'!C34:AG34,"V"),COUNTIF('June 2026'!C34:AF34,"V"),COUNTIF('July 2026'!C34:AG34,"V"),COUNTIF('August 2026'!C34:AG34,"V"),COUNTIF('September 2026'!C34:AF34,"V"),COUNTIF('October 2026'!C34:AG34,"V"),COUNTIF('November 2026'!C34:AF34,"V"),COUNTIF('December 2026'!C34:AG34,"V"))</f>
        <v>0</v>
      </c>
      <c r="S32" s="9" t="n">
        <f aca="false">SUM(COUNTIF('January 2026'!C34:AG34,"A"),COUNTIF('February 2026'!C34:AD34,"A"),COUNTIF('March 2026'!C34:AG34,"A"),COUNTIF('April 2026'!C34:AF34,"A"),COUNTIF('May 2026'!C34:AG34,"A"),COUNTIF('June 2026'!C34:AF34,"A"),COUNTIF('July 2026'!C34:AG34,"A"),COUNTIF('August 2026'!C34:AG34,"A"),COUNTIF('September 2026'!C34:AF34,"A"),COUNTIF('October 2026'!C34:AG34,"A"),COUNTIF('November 2026'!C34:AF34,"A"),COUNTIF('December 2026'!C34:AG34,"A"))</f>
        <v>0</v>
      </c>
    </row>
    <row r="33" customFormat="false" ht="19.5" hidden="false" customHeight="true" outlineLevel="0" collapsed="false">
      <c r="B33" s="8" t="n">
        <f aca="false">'January 2026'!B35</f>
        <v>0</v>
      </c>
      <c r="C33" s="9"/>
      <c r="D33" s="9"/>
      <c r="E33" s="9" t="n">
        <f aca="false">SUM(C33:D33)</f>
        <v>0</v>
      </c>
      <c r="G33" s="9" t="n">
        <f aca="false">SUM('January 2026'!AH35,'February 2026'!AE35,'March 2026'!AH35,'April 2026'!AG35,'May 2026'!AH35,'June 2026'!AG35,'July 2026'!AH35,'August 2026'!AH35,'September 2026'!AG35,'October 2026'!AH35,'November 2026'!AG35,'December 2026'!AH35)</f>
        <v>0</v>
      </c>
      <c r="H33" s="9" t="n">
        <f aca="false">E33-G33</f>
        <v>0</v>
      </c>
      <c r="J33" s="9" t="n">
        <f aca="false">SUM(COUNTIF('January 2026'!C35:AG35,"H"),COUNTIF('February 2026'!C35:AD35,"H"),COUNTIF('March 2026'!C35:AG35,"H"),COUNTIF('April 2026'!C35:AF35,"H"),COUNTIF('May 2026'!C35:AG35,"H"),COUNTIF('June 2026'!C35:AF35,"H"),COUNTIF('July 2026'!C35:AG35,"H"),COUNTIF('August 2026'!C35:AG35,"H"),COUNTIF('September 2026'!C35:AF35,"H"),COUNTIF('October 2026'!C35:AG35,"H"),COUNTIF('November 2026'!C35:AF35,"H"),COUNTIF('December 2026'!C35:AG35,"H"))</f>
        <v>0</v>
      </c>
      <c r="K33" s="9" t="n">
        <f aca="false">SUM(COUNTIF('January 2026'!C35:AG35,"H1"),COUNTIF('February 2026'!C35:AD35,"H1"),COUNTIF('March 2026'!C35:AG35,"H1"),COUNTIF('April 2026'!C35:AF35,"H1"),COUNTIF('May 2026'!C35:AG35,"H1"),COUNTIF('June 2026'!C35:AF35,"H1"),COUNTIF('July 2026'!C35:AG35,"H1"),COUNTIF('August 2026'!C35:AG35,"H1"),COUNTIF('September 2026'!C35:AF35,"H1"),COUNTIF('October 2026'!C35:AG35,"H1"),COUNTIF('November 2026'!C35:AF35,"H1"),COUNTIF('December 2026'!C35:AG35,"H1"))</f>
        <v>0</v>
      </c>
      <c r="L33" s="9" t="n">
        <f aca="false">SUM(COUNTIF('January 2026'!C35:AG35,"H2"),COUNTIF('February 2026'!C35:AD35,"H2"),COUNTIF('March 2026'!C35:AG35,"H2"),COUNTIF('April 2026'!C35:AF35,"H2"),COUNTIF('May 2026'!C35:AG35,"H2"),COUNTIF('June 2026'!C35:AF35,"H2"),COUNTIF('July 2026'!C35:AG35,"H2"),COUNTIF('August 2026'!C35:AG35,"H2"),COUNTIF('September 2026'!C35:AF35,"H2"),COUNTIF('October 2026'!C35:AG35,"H2"),COUNTIF('November 2026'!C35:AF35,"H2"),COUNTIF('December 2026'!C35:AG35,"H2"))</f>
        <v>0</v>
      </c>
      <c r="M33" s="9" t="n">
        <f aca="false">SUM(COUNTIF('January 2026'!C35:AG35,"Q"),COUNTIF('February 2026'!C35:AD35,"Q"),COUNTIF('March 2026'!C35:AG35,"Q"),COUNTIF('April 2026'!C35:AF35,"Q"),COUNTIF('May 2026'!C35:AG35,"Q"),COUNTIF('June 2026'!C35:AF35,"Q"),COUNTIF('July 2026'!C35:AG35,"Q"),COUNTIF('August 2026'!C35:AG35,"Q"),COUNTIF('September 2026'!C35:AF35,"Q"),COUNTIF('October 2026'!C35:AG35,"Q"),COUNTIF('November 2026'!C35:AF35,"Q"),COUNTIF('December 2026'!C35:AG35,"Q"))</f>
        <v>0</v>
      </c>
      <c r="N33" s="9" t="n">
        <f aca="false">SUM(COUNTIF('January 2026'!C35:AG35,"I"),COUNTIF('February 2026'!C35:AD35,"I"),COUNTIF('March 2026'!C35:AG35,"I"),COUNTIF('April 2026'!C35:AF35,"I"),COUNTIF('May 2026'!C35:AG35,"I"),COUNTIF('June 2026'!C35:AF35,"I"),COUNTIF('July 2026'!C35:AG35,"I"),COUNTIF('August 2026'!C35:AG35,"I"),COUNTIF('September 2026'!C35:AF35,"I"),COUNTIF('October 2026'!C35:AG35,"I"),COUNTIF('November 2026'!C35:AF35,"I"),COUNTIF('December 2026'!C35:AG35,"I"))</f>
        <v>0</v>
      </c>
      <c r="O33" s="9" t="n">
        <f aca="false">SUM(COUNTIF('January 2026'!C35:AG35,"S"),COUNTIF('February 2026'!C35:AD35,"S"),COUNTIF('March 2026'!C35:AG35,"S"),COUNTIF('April 2026'!C35:AF35,"S"),COUNTIF('May 2026'!C35:AG35,"S"),COUNTIF('June 2026'!C35:AF35,"S"),COUNTIF('July 2026'!C35:AG35,"S"),COUNTIF('August 2026'!C35:AG35,"S"),COUNTIF('September 2026'!C35:AF35,"S"),COUNTIF('October 2026'!C35:AG35,"S"),COUNTIF('November 2026'!C35:AF35,"S"),COUNTIF('December 2026'!C35:AG35,"S"))</f>
        <v>0</v>
      </c>
      <c r="P33" s="9" t="n">
        <f aca="false">SUM(COUNTIF('January 2026'!C35:AG35,"M"),COUNTIF('February 2026'!C35:AD35,"M"),COUNTIF('March 2026'!C35:AG35,"M"),COUNTIF('April 2026'!C35:AF35,"M"),COUNTIF('May 2026'!C35:AG35,"M"),COUNTIF('June 2026'!C35:AF35,"M"),COUNTIF('July 2026'!C35:AG35,"M"),COUNTIF('August 2026'!C35:AG35,"M"),COUNTIF('September 2026'!C35:AF35,"M"),COUNTIF('October 2026'!C35:AG35,"M"),COUNTIF('November 2026'!C35:AF35,"M"),COUNTIF('December 2026'!C35:AG35,"M"))</f>
        <v>0</v>
      </c>
      <c r="Q33" s="9" t="n">
        <f aca="false">SUM(COUNTIF('January 2026'!C35:AG35,"C"),COUNTIF('February 2026'!C35:AD35,"C"),COUNTIF('March 2026'!C35:AG35,"C"),COUNTIF('April 2026'!C35:AF35,"C"),COUNTIF('May 2026'!C35:AG35,"C"),COUNTIF('June 2026'!C35:AF35,"C"),COUNTIF('July 2026'!C35:AG35,"C"),COUNTIF('August 2026'!C35:AG35,"C"),COUNTIF('September 2026'!C35:AF35,"C"),COUNTIF('October 2026'!C35:AG35,"C"),COUNTIF('November 2026'!C35:AF35,"C"),COUNTIF('December 2026'!C35:AG35,"C"))</f>
        <v>0</v>
      </c>
      <c r="R33" s="9" t="n">
        <f aca="false">SUM(COUNTIF('January 2026'!C35:AG35,"V"),COUNTIF('February 2026'!C35:AD35,"V"),COUNTIF('March 2026'!C35:AG35,"V"),COUNTIF('April 2026'!C35:AF35,"V"),COUNTIF('May 2026'!C35:AG35,"V"),COUNTIF('June 2026'!C35:AF35,"V"),COUNTIF('July 2026'!C35:AG35,"V"),COUNTIF('August 2026'!C35:AG35,"V"),COUNTIF('September 2026'!C35:AF35,"V"),COUNTIF('October 2026'!C35:AG35,"V"),COUNTIF('November 2026'!C35:AF35,"V"),COUNTIF('December 2026'!C35:AG35,"V"))</f>
        <v>0</v>
      </c>
      <c r="S33" s="9" t="n">
        <f aca="false">SUM(COUNTIF('January 2026'!C35:AG35,"A"),COUNTIF('February 2026'!C35:AD35,"A"),COUNTIF('March 2026'!C35:AG35,"A"),COUNTIF('April 2026'!C35:AF35,"A"),COUNTIF('May 2026'!C35:AG35,"A"),COUNTIF('June 2026'!C35:AF35,"A"),COUNTIF('July 2026'!C35:AG35,"A"),COUNTIF('August 2026'!C35:AG35,"A"),COUNTIF('September 2026'!C35:AF35,"A"),COUNTIF('October 2026'!C35:AG35,"A"),COUNTIF('November 2026'!C35:AF35,"A"),COUNTIF('December 2026'!C35:AG35,"A"))</f>
        <v>0</v>
      </c>
    </row>
    <row r="34" customFormat="false" ht="19.5" hidden="false" customHeight="true" outlineLevel="0" collapsed="false">
      <c r="B34" s="8" t="n">
        <f aca="false">'January 2026'!B36</f>
        <v>0</v>
      </c>
      <c r="C34" s="9"/>
      <c r="D34" s="9"/>
      <c r="E34" s="9" t="n">
        <f aca="false">SUM(C34:D34)</f>
        <v>0</v>
      </c>
      <c r="G34" s="9" t="n">
        <f aca="false">SUM('January 2026'!AH36,'February 2026'!AE36,'March 2026'!AH36,'April 2026'!AG36,'May 2026'!AH36,'June 2026'!AG36,'July 2026'!AH36,'August 2026'!AH36,'September 2026'!AG36,'October 2026'!AH36,'November 2026'!AG36,'December 2026'!AH36)</f>
        <v>0</v>
      </c>
      <c r="H34" s="9" t="n">
        <f aca="false">E34-G34</f>
        <v>0</v>
      </c>
      <c r="J34" s="9" t="n">
        <f aca="false">SUM(COUNTIF('January 2026'!C36:AG36,"H"),COUNTIF('February 2026'!C36:AD36,"H"),COUNTIF('March 2026'!C36:AG36,"H"),COUNTIF('April 2026'!C36:AF36,"H"),COUNTIF('May 2026'!C36:AG36,"H"),COUNTIF('June 2026'!C36:AF36,"H"),COUNTIF('July 2026'!C36:AG36,"H"),COUNTIF('August 2026'!C36:AG36,"H"),COUNTIF('September 2026'!C36:AF36,"H"),COUNTIF('October 2026'!C36:AG36,"H"),COUNTIF('November 2026'!C36:AF36,"H"),COUNTIF('December 2026'!C36:AG36,"H"))</f>
        <v>0</v>
      </c>
      <c r="K34" s="9" t="n">
        <f aca="false">SUM(COUNTIF('January 2026'!C36:AG36,"H1"),COUNTIF('February 2026'!C36:AD36,"H1"),COUNTIF('March 2026'!C36:AG36,"H1"),COUNTIF('April 2026'!C36:AF36,"H1"),COUNTIF('May 2026'!C36:AG36,"H1"),COUNTIF('June 2026'!C36:AF36,"H1"),COUNTIF('July 2026'!C36:AG36,"H1"),COUNTIF('August 2026'!C36:AG36,"H1"),COUNTIF('September 2026'!C36:AF36,"H1"),COUNTIF('October 2026'!C36:AG36,"H1"),COUNTIF('November 2026'!C36:AF36,"H1"),COUNTIF('December 2026'!C36:AG36,"H1"))</f>
        <v>0</v>
      </c>
      <c r="L34" s="9" t="n">
        <f aca="false">SUM(COUNTIF('January 2026'!C36:AG36,"H2"),COUNTIF('February 2026'!C36:AD36,"H2"),COUNTIF('March 2026'!C36:AG36,"H2"),COUNTIF('April 2026'!C36:AF36,"H2"),COUNTIF('May 2026'!C36:AG36,"H2"),COUNTIF('June 2026'!C36:AF36,"H2"),COUNTIF('July 2026'!C36:AG36,"H2"),COUNTIF('August 2026'!C36:AG36,"H2"),COUNTIF('September 2026'!C36:AF36,"H2"),COUNTIF('October 2026'!C36:AG36,"H2"),COUNTIF('November 2026'!C36:AF36,"H2"),COUNTIF('December 2026'!C36:AG36,"H2"))</f>
        <v>0</v>
      </c>
      <c r="M34" s="9" t="n">
        <f aca="false">SUM(COUNTIF('January 2026'!C36:AG36,"Q"),COUNTIF('February 2026'!C36:AD36,"Q"),COUNTIF('March 2026'!C36:AG36,"Q"),COUNTIF('April 2026'!C36:AF36,"Q"),COUNTIF('May 2026'!C36:AG36,"Q"),COUNTIF('June 2026'!C36:AF36,"Q"),COUNTIF('July 2026'!C36:AG36,"Q"),COUNTIF('August 2026'!C36:AG36,"Q"),COUNTIF('September 2026'!C36:AF36,"Q"),COUNTIF('October 2026'!C36:AG36,"Q"),COUNTIF('November 2026'!C36:AF36,"Q"),COUNTIF('December 2026'!C36:AG36,"Q"))</f>
        <v>0</v>
      </c>
      <c r="N34" s="9" t="n">
        <f aca="false">SUM(COUNTIF('January 2026'!C36:AG36,"I"),COUNTIF('February 2026'!C36:AD36,"I"),COUNTIF('March 2026'!C36:AG36,"I"),COUNTIF('April 2026'!C36:AF36,"I"),COUNTIF('May 2026'!C36:AG36,"I"),COUNTIF('June 2026'!C36:AF36,"I"),COUNTIF('July 2026'!C36:AG36,"I"),COUNTIF('August 2026'!C36:AG36,"I"),COUNTIF('September 2026'!C36:AF36,"I"),COUNTIF('October 2026'!C36:AG36,"I"),COUNTIF('November 2026'!C36:AF36,"I"),COUNTIF('December 2026'!C36:AG36,"I"))</f>
        <v>0</v>
      </c>
      <c r="O34" s="9" t="n">
        <f aca="false">SUM(COUNTIF('January 2026'!C36:AG36,"S"),COUNTIF('February 2026'!C36:AD36,"S"),COUNTIF('March 2026'!C36:AG36,"S"),COUNTIF('April 2026'!C36:AF36,"S"),COUNTIF('May 2026'!C36:AG36,"S"),COUNTIF('June 2026'!C36:AF36,"S"),COUNTIF('July 2026'!C36:AG36,"S"),COUNTIF('August 2026'!C36:AG36,"S"),COUNTIF('September 2026'!C36:AF36,"S"),COUNTIF('October 2026'!C36:AG36,"S"),COUNTIF('November 2026'!C36:AF36,"S"),COUNTIF('December 2026'!C36:AG36,"S"))</f>
        <v>0</v>
      </c>
      <c r="P34" s="9" t="n">
        <f aca="false">SUM(COUNTIF('January 2026'!C36:AG36,"M"),COUNTIF('February 2026'!C36:AD36,"M"),COUNTIF('March 2026'!C36:AG36,"M"),COUNTIF('April 2026'!C36:AF36,"M"),COUNTIF('May 2026'!C36:AG36,"M"),COUNTIF('June 2026'!C36:AF36,"M"),COUNTIF('July 2026'!C36:AG36,"M"),COUNTIF('August 2026'!C36:AG36,"M"),COUNTIF('September 2026'!C36:AF36,"M"),COUNTIF('October 2026'!C36:AG36,"M"),COUNTIF('November 2026'!C36:AF36,"M"),COUNTIF('December 2026'!C36:AG36,"M"))</f>
        <v>0</v>
      </c>
      <c r="Q34" s="9" t="n">
        <f aca="false">SUM(COUNTIF('January 2026'!C36:AG36,"C"),COUNTIF('February 2026'!C36:AD36,"C"),COUNTIF('March 2026'!C36:AG36,"C"),COUNTIF('April 2026'!C36:AF36,"C"),COUNTIF('May 2026'!C36:AG36,"C"),COUNTIF('June 2026'!C36:AF36,"C"),COUNTIF('July 2026'!C36:AG36,"C"),COUNTIF('August 2026'!C36:AG36,"C"),COUNTIF('September 2026'!C36:AF36,"C"),COUNTIF('October 2026'!C36:AG36,"C"),COUNTIF('November 2026'!C36:AF36,"C"),COUNTIF('December 2026'!C36:AG36,"C"))</f>
        <v>0</v>
      </c>
      <c r="R34" s="9" t="n">
        <f aca="false">SUM(COUNTIF('January 2026'!C36:AG36,"V"),COUNTIF('February 2026'!C36:AD36,"V"),COUNTIF('March 2026'!C36:AG36,"V"),COUNTIF('April 2026'!C36:AF36,"V"),COUNTIF('May 2026'!C36:AG36,"V"),COUNTIF('June 2026'!C36:AF36,"V"),COUNTIF('July 2026'!C36:AG36,"V"),COUNTIF('August 2026'!C36:AG36,"V"),COUNTIF('September 2026'!C36:AF36,"V"),COUNTIF('October 2026'!C36:AG36,"V"),COUNTIF('November 2026'!C36:AF36,"V"),COUNTIF('December 2026'!C36:AG36,"V"))</f>
        <v>0</v>
      </c>
      <c r="S34" s="9" t="n">
        <f aca="false">SUM(COUNTIF('January 2026'!C36:AG36,"A"),COUNTIF('February 2026'!C36:AD36,"A"),COUNTIF('March 2026'!C36:AG36,"A"),COUNTIF('April 2026'!C36:AF36,"A"),COUNTIF('May 2026'!C36:AG36,"A"),COUNTIF('June 2026'!C36:AF36,"A"),COUNTIF('July 2026'!C36:AG36,"A"),COUNTIF('August 2026'!C36:AG36,"A"),COUNTIF('September 2026'!C36:AF36,"A"),COUNTIF('October 2026'!C36:AG36,"A"),COUNTIF('November 2026'!C36:AF36,"A"),COUNTIF('December 2026'!C36:AG36,"A"))</f>
        <v>0</v>
      </c>
    </row>
    <row r="35" customFormat="false" ht="19.5" hidden="false" customHeight="true" outlineLevel="0" collapsed="false">
      <c r="B35" s="8" t="n">
        <f aca="false">'January 2026'!B37</f>
        <v>0</v>
      </c>
      <c r="C35" s="9"/>
      <c r="D35" s="9"/>
      <c r="E35" s="9" t="n">
        <f aca="false">SUM(C35:D35)</f>
        <v>0</v>
      </c>
      <c r="G35" s="9" t="n">
        <f aca="false">SUM('January 2026'!AH37,'February 2026'!AE37,'March 2026'!AH37,'April 2026'!AG37,'May 2026'!AH37,'June 2026'!AG37,'July 2026'!AH37,'August 2026'!AH37,'September 2026'!AG37,'October 2026'!AH37,'November 2026'!AG37,'December 2026'!AH37)</f>
        <v>0</v>
      </c>
      <c r="H35" s="9" t="n">
        <f aca="false">E35-G35</f>
        <v>0</v>
      </c>
      <c r="J35" s="9" t="n">
        <f aca="false">SUM(COUNTIF('January 2026'!C37:AG37,"H"),COUNTIF('February 2026'!C37:AD37,"H"),COUNTIF('March 2026'!C37:AG37,"H"),COUNTIF('April 2026'!C37:AF37,"H"),COUNTIF('May 2026'!C37:AG37,"H"),COUNTIF('June 2026'!C37:AF37,"H"),COUNTIF('July 2026'!C37:AG37,"H"),COUNTIF('August 2026'!C37:AG37,"H"),COUNTIF('September 2026'!C37:AF37,"H"),COUNTIF('October 2026'!C37:AG37,"H"),COUNTIF('November 2026'!C37:AF37,"H"),COUNTIF('December 2026'!C37:AG37,"H"))</f>
        <v>0</v>
      </c>
      <c r="K35" s="9" t="n">
        <f aca="false">SUM(COUNTIF('January 2026'!C37:AG37,"H1"),COUNTIF('February 2026'!C37:AD37,"H1"),COUNTIF('March 2026'!C37:AG37,"H1"),COUNTIF('April 2026'!C37:AF37,"H1"),COUNTIF('May 2026'!C37:AG37,"H1"),COUNTIF('June 2026'!C37:AF37,"H1"),COUNTIF('July 2026'!C37:AG37,"H1"),COUNTIF('August 2026'!C37:AG37,"H1"),COUNTIF('September 2026'!C37:AF37,"H1"),COUNTIF('October 2026'!C37:AG37,"H1"),COUNTIF('November 2026'!C37:AF37,"H1"),COUNTIF('December 2026'!C37:AG37,"H1"))</f>
        <v>0</v>
      </c>
      <c r="L35" s="9" t="n">
        <f aca="false">SUM(COUNTIF('January 2026'!C37:AG37,"H2"),COUNTIF('February 2026'!C37:AD37,"H2"),COUNTIF('March 2026'!C37:AG37,"H2"),COUNTIF('April 2026'!C37:AF37,"H2"),COUNTIF('May 2026'!C37:AG37,"H2"),COUNTIF('June 2026'!C37:AF37,"H2"),COUNTIF('July 2026'!C37:AG37,"H2"),COUNTIF('August 2026'!C37:AG37,"H2"),COUNTIF('September 2026'!C37:AF37,"H2"),COUNTIF('October 2026'!C37:AG37,"H2"),COUNTIF('November 2026'!C37:AF37,"H2"),COUNTIF('December 2026'!C37:AG37,"H2"))</f>
        <v>0</v>
      </c>
      <c r="M35" s="9" t="n">
        <f aca="false">SUM(COUNTIF('January 2026'!C37:AG37,"Q"),COUNTIF('February 2026'!C37:AD37,"Q"),COUNTIF('March 2026'!C37:AG37,"Q"),COUNTIF('April 2026'!C37:AF37,"Q"),COUNTIF('May 2026'!C37:AG37,"Q"),COUNTIF('June 2026'!C37:AF37,"Q"),COUNTIF('July 2026'!C37:AG37,"Q"),COUNTIF('August 2026'!C37:AG37,"Q"),COUNTIF('September 2026'!C37:AF37,"Q"),COUNTIF('October 2026'!C37:AG37,"Q"),COUNTIF('November 2026'!C37:AF37,"Q"),COUNTIF('December 2026'!C37:AG37,"Q"))</f>
        <v>0</v>
      </c>
      <c r="N35" s="9" t="n">
        <f aca="false">SUM(COUNTIF('January 2026'!C37:AG37,"I"),COUNTIF('February 2026'!C37:AD37,"I"),COUNTIF('March 2026'!C37:AG37,"I"),COUNTIF('April 2026'!C37:AF37,"I"),COUNTIF('May 2026'!C37:AG37,"I"),COUNTIF('June 2026'!C37:AF37,"I"),COUNTIF('July 2026'!C37:AG37,"I"),COUNTIF('August 2026'!C37:AG37,"I"),COUNTIF('September 2026'!C37:AF37,"I"),COUNTIF('October 2026'!C37:AG37,"I"),COUNTIF('November 2026'!C37:AF37,"I"),COUNTIF('December 2026'!C37:AG37,"I"))</f>
        <v>0</v>
      </c>
      <c r="O35" s="9" t="n">
        <f aca="false">SUM(COUNTIF('January 2026'!C37:AG37,"S"),COUNTIF('February 2026'!C37:AD37,"S"),COUNTIF('March 2026'!C37:AG37,"S"),COUNTIF('April 2026'!C37:AF37,"S"),COUNTIF('May 2026'!C37:AG37,"S"),COUNTIF('June 2026'!C37:AF37,"S"),COUNTIF('July 2026'!C37:AG37,"S"),COUNTIF('August 2026'!C37:AG37,"S"),COUNTIF('September 2026'!C37:AF37,"S"),COUNTIF('October 2026'!C37:AG37,"S"),COUNTIF('November 2026'!C37:AF37,"S"),COUNTIF('December 2026'!C37:AG37,"S"))</f>
        <v>0</v>
      </c>
      <c r="P35" s="9" t="n">
        <f aca="false">SUM(COUNTIF('January 2026'!C37:AG37,"M"),COUNTIF('February 2026'!C37:AD37,"M"),COUNTIF('March 2026'!C37:AG37,"M"),COUNTIF('April 2026'!C37:AF37,"M"),COUNTIF('May 2026'!C37:AG37,"M"),COUNTIF('June 2026'!C37:AF37,"M"),COUNTIF('July 2026'!C37:AG37,"M"),COUNTIF('August 2026'!C37:AG37,"M"),COUNTIF('September 2026'!C37:AF37,"M"),COUNTIF('October 2026'!C37:AG37,"M"),COUNTIF('November 2026'!C37:AF37,"M"),COUNTIF('December 2026'!C37:AG37,"M"))</f>
        <v>0</v>
      </c>
      <c r="Q35" s="9" t="n">
        <f aca="false">SUM(COUNTIF('January 2026'!C37:AG37,"C"),COUNTIF('February 2026'!C37:AD37,"C"),COUNTIF('March 2026'!C37:AG37,"C"),COUNTIF('April 2026'!C37:AF37,"C"),COUNTIF('May 2026'!C37:AG37,"C"),COUNTIF('June 2026'!C37:AF37,"C"),COUNTIF('July 2026'!C37:AG37,"C"),COUNTIF('August 2026'!C37:AG37,"C"),COUNTIF('September 2026'!C37:AF37,"C"),COUNTIF('October 2026'!C37:AG37,"C"),COUNTIF('November 2026'!C37:AF37,"C"),COUNTIF('December 2026'!C37:AG37,"C"))</f>
        <v>0</v>
      </c>
      <c r="R35" s="9" t="n">
        <f aca="false">SUM(COUNTIF('January 2026'!C37:AG37,"V"),COUNTIF('February 2026'!C37:AD37,"V"),COUNTIF('March 2026'!C37:AG37,"V"),COUNTIF('April 2026'!C37:AF37,"V"),COUNTIF('May 2026'!C37:AG37,"V"),COUNTIF('June 2026'!C37:AF37,"V"),COUNTIF('July 2026'!C37:AG37,"V"),COUNTIF('August 2026'!C37:AG37,"V"),COUNTIF('September 2026'!C37:AF37,"V"),COUNTIF('October 2026'!C37:AG37,"V"),COUNTIF('November 2026'!C37:AF37,"V"),COUNTIF('December 2026'!C37:AG37,"V"))</f>
        <v>0</v>
      </c>
      <c r="S35" s="9" t="n">
        <f aca="false">SUM(COUNTIF('January 2026'!C37:AG37,"A"),COUNTIF('February 2026'!C37:AD37,"A"),COUNTIF('March 2026'!C37:AG37,"A"),COUNTIF('April 2026'!C37:AF37,"A"),COUNTIF('May 2026'!C37:AG37,"A"),COUNTIF('June 2026'!C37:AF37,"A"),COUNTIF('July 2026'!C37:AG37,"A"),COUNTIF('August 2026'!C37:AG37,"A"),COUNTIF('September 2026'!C37:AF37,"A"),COUNTIF('October 2026'!C37:AG37,"A"),COUNTIF('November 2026'!C37:AF37,"A"),COUNTIF('December 2026'!C37:AG37,"A"))</f>
        <v>0</v>
      </c>
    </row>
    <row r="36" customFormat="false" ht="19.5" hidden="false" customHeight="true" outlineLevel="0" collapsed="false">
      <c r="B36" s="8" t="n">
        <f aca="false">'January 2026'!B38</f>
        <v>0</v>
      </c>
      <c r="C36" s="9"/>
      <c r="D36" s="9"/>
      <c r="E36" s="9" t="n">
        <f aca="false">SUM(C36:D36)</f>
        <v>0</v>
      </c>
      <c r="G36" s="9" t="n">
        <f aca="false">SUM('January 2026'!AH38,'February 2026'!AE38,'March 2026'!AH38,'April 2026'!AG38,'May 2026'!AH38,'June 2026'!AG38,'July 2026'!AH38,'August 2026'!AH38,'September 2026'!AG38,'October 2026'!AH38,'November 2026'!AG38,'December 2026'!AH38)</f>
        <v>0</v>
      </c>
      <c r="H36" s="9" t="n">
        <f aca="false">E36-G36</f>
        <v>0</v>
      </c>
      <c r="J36" s="9" t="n">
        <f aca="false">SUM(COUNTIF('January 2026'!C38:AG38,"H"),COUNTIF('February 2026'!C38:AD38,"H"),COUNTIF('March 2026'!C38:AG38,"H"),COUNTIF('April 2026'!C38:AF38,"H"),COUNTIF('May 2026'!C38:AG38,"H"),COUNTIF('June 2026'!C38:AF38,"H"),COUNTIF('July 2026'!C38:AG38,"H"),COUNTIF('August 2026'!C38:AG38,"H"),COUNTIF('September 2026'!C38:AF38,"H"),COUNTIF('October 2026'!C38:AG38,"H"),COUNTIF('November 2026'!C38:AF38,"H"),COUNTIF('December 2026'!C38:AG38,"H"))</f>
        <v>0</v>
      </c>
      <c r="K36" s="9" t="n">
        <f aca="false">SUM(COUNTIF('January 2026'!C38:AG38,"H1"),COUNTIF('February 2026'!C38:AD38,"H1"),COUNTIF('March 2026'!C38:AG38,"H1"),COUNTIF('April 2026'!C38:AF38,"H1"),COUNTIF('May 2026'!C38:AG38,"H1"),COUNTIF('June 2026'!C38:AF38,"H1"),COUNTIF('July 2026'!C38:AG38,"H1"),COUNTIF('August 2026'!C38:AG38,"H1"),COUNTIF('September 2026'!C38:AF38,"H1"),COUNTIF('October 2026'!C38:AG38,"H1"),COUNTIF('November 2026'!C38:AF38,"H1"),COUNTIF('December 2026'!C38:AG38,"H1"))</f>
        <v>0</v>
      </c>
      <c r="L36" s="9" t="n">
        <f aca="false">SUM(COUNTIF('January 2026'!C38:AG38,"H2"),COUNTIF('February 2026'!C38:AD38,"H2"),COUNTIF('March 2026'!C38:AG38,"H2"),COUNTIF('April 2026'!C38:AF38,"H2"),COUNTIF('May 2026'!C38:AG38,"H2"),COUNTIF('June 2026'!C38:AF38,"H2"),COUNTIF('July 2026'!C38:AG38,"H2"),COUNTIF('August 2026'!C38:AG38,"H2"),COUNTIF('September 2026'!C38:AF38,"H2"),COUNTIF('October 2026'!C38:AG38,"H2"),COUNTIF('November 2026'!C38:AF38,"H2"),COUNTIF('December 2026'!C38:AG38,"H2"))</f>
        <v>0</v>
      </c>
      <c r="M36" s="9" t="n">
        <f aca="false">SUM(COUNTIF('January 2026'!C38:AG38,"Q"),COUNTIF('February 2026'!C38:AD38,"Q"),COUNTIF('March 2026'!C38:AG38,"Q"),COUNTIF('April 2026'!C38:AF38,"Q"),COUNTIF('May 2026'!C38:AG38,"Q"),COUNTIF('June 2026'!C38:AF38,"Q"),COUNTIF('July 2026'!C38:AG38,"Q"),COUNTIF('August 2026'!C38:AG38,"Q"),COUNTIF('September 2026'!C38:AF38,"Q"),COUNTIF('October 2026'!C38:AG38,"Q"),COUNTIF('November 2026'!C38:AF38,"Q"),COUNTIF('December 2026'!C38:AG38,"Q"))</f>
        <v>0</v>
      </c>
      <c r="N36" s="9" t="n">
        <f aca="false">SUM(COUNTIF('January 2026'!C38:AG38,"I"),COUNTIF('February 2026'!C38:AD38,"I"),COUNTIF('March 2026'!C38:AG38,"I"),COUNTIF('April 2026'!C38:AF38,"I"),COUNTIF('May 2026'!C38:AG38,"I"),COUNTIF('June 2026'!C38:AF38,"I"),COUNTIF('July 2026'!C38:AG38,"I"),COUNTIF('August 2026'!C38:AG38,"I"),COUNTIF('September 2026'!C38:AF38,"I"),COUNTIF('October 2026'!C38:AG38,"I"),COUNTIF('November 2026'!C38:AF38,"I"),COUNTIF('December 2026'!C38:AG38,"I"))</f>
        <v>0</v>
      </c>
      <c r="O36" s="9" t="n">
        <f aca="false">SUM(COUNTIF('January 2026'!C38:AG38,"S"),COUNTIF('February 2026'!C38:AD38,"S"),COUNTIF('March 2026'!C38:AG38,"S"),COUNTIF('April 2026'!C38:AF38,"S"),COUNTIF('May 2026'!C38:AG38,"S"),COUNTIF('June 2026'!C38:AF38,"S"),COUNTIF('July 2026'!C38:AG38,"S"),COUNTIF('August 2026'!C38:AG38,"S"),COUNTIF('September 2026'!C38:AF38,"S"),COUNTIF('October 2026'!C38:AG38,"S"),COUNTIF('November 2026'!C38:AF38,"S"),COUNTIF('December 2026'!C38:AG38,"S"))</f>
        <v>0</v>
      </c>
      <c r="P36" s="9" t="n">
        <f aca="false">SUM(COUNTIF('January 2026'!C38:AG38,"M"),COUNTIF('February 2026'!C38:AD38,"M"),COUNTIF('March 2026'!C38:AG38,"M"),COUNTIF('April 2026'!C38:AF38,"M"),COUNTIF('May 2026'!C38:AG38,"M"),COUNTIF('June 2026'!C38:AF38,"M"),COUNTIF('July 2026'!C38:AG38,"M"),COUNTIF('August 2026'!C38:AG38,"M"),COUNTIF('September 2026'!C38:AF38,"M"),COUNTIF('October 2026'!C38:AG38,"M"),COUNTIF('November 2026'!C38:AF38,"M"),COUNTIF('December 2026'!C38:AG38,"M"))</f>
        <v>0</v>
      </c>
      <c r="Q36" s="9" t="n">
        <f aca="false">SUM(COUNTIF('January 2026'!C38:AG38,"C"),COUNTIF('February 2026'!C38:AD38,"C"),COUNTIF('March 2026'!C38:AG38,"C"),COUNTIF('April 2026'!C38:AF38,"C"),COUNTIF('May 2026'!C38:AG38,"C"),COUNTIF('June 2026'!C38:AF38,"C"),COUNTIF('July 2026'!C38:AG38,"C"),COUNTIF('August 2026'!C38:AG38,"C"),COUNTIF('September 2026'!C38:AF38,"C"),COUNTIF('October 2026'!C38:AG38,"C"),COUNTIF('November 2026'!C38:AF38,"C"),COUNTIF('December 2026'!C38:AG38,"C"))</f>
        <v>0</v>
      </c>
      <c r="R36" s="9" t="n">
        <f aca="false">SUM(COUNTIF('January 2026'!C38:AG38,"V"),COUNTIF('February 2026'!C38:AD38,"V"),COUNTIF('March 2026'!C38:AG38,"V"),COUNTIF('April 2026'!C38:AF38,"V"),COUNTIF('May 2026'!C38:AG38,"V"),COUNTIF('June 2026'!C38:AF38,"V"),COUNTIF('July 2026'!C38:AG38,"V"),COUNTIF('August 2026'!C38:AG38,"V"),COUNTIF('September 2026'!C38:AF38,"V"),COUNTIF('October 2026'!C38:AG38,"V"),COUNTIF('November 2026'!C38:AF38,"V"),COUNTIF('December 2026'!C38:AG38,"V"))</f>
        <v>0</v>
      </c>
      <c r="S36" s="9" t="n">
        <f aca="false">SUM(COUNTIF('January 2026'!C38:AG38,"A"),COUNTIF('February 2026'!C38:AD38,"A"),COUNTIF('March 2026'!C38:AG38,"A"),COUNTIF('April 2026'!C38:AF38,"A"),COUNTIF('May 2026'!C38:AG38,"A"),COUNTIF('June 2026'!C38:AF38,"A"),COUNTIF('July 2026'!C38:AG38,"A"),COUNTIF('August 2026'!C38:AG38,"A"),COUNTIF('September 2026'!C38:AF38,"A"),COUNTIF('October 2026'!C38:AG38,"A"),COUNTIF('November 2026'!C38:AF38,"A"),COUNTIF('December 2026'!C38:AG38,"A"))</f>
        <v>0</v>
      </c>
    </row>
    <row r="37" customFormat="false" ht="19.5" hidden="false" customHeight="true" outlineLevel="0" collapsed="false">
      <c r="B37" s="8" t="n">
        <f aca="false">'January 2026'!B39</f>
        <v>0</v>
      </c>
      <c r="C37" s="9"/>
      <c r="D37" s="9"/>
      <c r="E37" s="9" t="n">
        <f aca="false">SUM(C37:D37)</f>
        <v>0</v>
      </c>
      <c r="G37" s="9" t="n">
        <f aca="false">SUM('January 2026'!AH39,'February 2026'!AE39,'March 2026'!AH39,'April 2026'!AG39,'May 2026'!AH39,'June 2026'!AG39,'July 2026'!AH39,'August 2026'!AH39,'September 2026'!AG39,'October 2026'!AH39,'November 2026'!AG39,'December 2026'!AH39)</f>
        <v>0</v>
      </c>
      <c r="H37" s="9" t="n">
        <f aca="false">E37-G37</f>
        <v>0</v>
      </c>
      <c r="J37" s="9" t="n">
        <f aca="false">SUM(COUNTIF('January 2026'!C39:AG39,"H"),COUNTIF('February 2026'!C39:AD39,"H"),COUNTIF('March 2026'!C39:AG39,"H"),COUNTIF('April 2026'!C39:AF39,"H"),COUNTIF('May 2026'!C39:AG39,"H"),COUNTIF('June 2026'!C39:AF39,"H"),COUNTIF('July 2026'!C39:AG39,"H"),COUNTIF('August 2026'!C39:AG39,"H"),COUNTIF('September 2026'!C39:AF39,"H"),COUNTIF('October 2026'!C39:AG39,"H"),COUNTIF('November 2026'!C39:AF39,"H"),COUNTIF('December 2026'!C39:AG39,"H"))</f>
        <v>0</v>
      </c>
      <c r="K37" s="9" t="n">
        <f aca="false">SUM(COUNTIF('January 2026'!C39:AG39,"H1"),COUNTIF('February 2026'!C39:AD39,"H1"),COUNTIF('March 2026'!C39:AG39,"H1"),COUNTIF('April 2026'!C39:AF39,"H1"),COUNTIF('May 2026'!C39:AG39,"H1"),COUNTIF('June 2026'!C39:AF39,"H1"),COUNTIF('July 2026'!C39:AG39,"H1"),COUNTIF('August 2026'!C39:AG39,"H1"),COUNTIF('September 2026'!C39:AF39,"H1"),COUNTIF('October 2026'!C39:AG39,"H1"),COUNTIF('November 2026'!C39:AF39,"H1"),COUNTIF('December 2026'!C39:AG39,"H1"))</f>
        <v>0</v>
      </c>
      <c r="L37" s="9" t="n">
        <f aca="false">SUM(COUNTIF('January 2026'!C39:AG39,"H2"),COUNTIF('February 2026'!C39:AD39,"H2"),COUNTIF('March 2026'!C39:AG39,"H2"),COUNTIF('April 2026'!C39:AF39,"H2"),COUNTIF('May 2026'!C39:AG39,"H2"),COUNTIF('June 2026'!C39:AF39,"H2"),COUNTIF('July 2026'!C39:AG39,"H2"),COUNTIF('August 2026'!C39:AG39,"H2"),COUNTIF('September 2026'!C39:AF39,"H2"),COUNTIF('October 2026'!C39:AG39,"H2"),COUNTIF('November 2026'!C39:AF39,"H2"),COUNTIF('December 2026'!C39:AG39,"H2"))</f>
        <v>0</v>
      </c>
      <c r="M37" s="9" t="n">
        <f aca="false">SUM(COUNTIF('January 2026'!C39:AG39,"Q"),COUNTIF('February 2026'!C39:AD39,"Q"),COUNTIF('March 2026'!C39:AG39,"Q"),COUNTIF('April 2026'!C39:AF39,"Q"),COUNTIF('May 2026'!C39:AG39,"Q"),COUNTIF('June 2026'!C39:AF39,"Q"),COUNTIF('July 2026'!C39:AG39,"Q"),COUNTIF('August 2026'!C39:AG39,"Q"),COUNTIF('September 2026'!C39:AF39,"Q"),COUNTIF('October 2026'!C39:AG39,"Q"),COUNTIF('November 2026'!C39:AF39,"Q"),COUNTIF('December 2026'!C39:AG39,"Q"))</f>
        <v>0</v>
      </c>
      <c r="N37" s="9" t="n">
        <f aca="false">SUM(COUNTIF('January 2026'!C39:AG39,"I"),COUNTIF('February 2026'!C39:AD39,"I"),COUNTIF('March 2026'!C39:AG39,"I"),COUNTIF('April 2026'!C39:AF39,"I"),COUNTIF('May 2026'!C39:AG39,"I"),COUNTIF('June 2026'!C39:AF39,"I"),COUNTIF('July 2026'!C39:AG39,"I"),COUNTIF('August 2026'!C39:AG39,"I"),COUNTIF('September 2026'!C39:AF39,"I"),COUNTIF('October 2026'!C39:AG39,"I"),COUNTIF('November 2026'!C39:AF39,"I"),COUNTIF('December 2026'!C39:AG39,"I"))</f>
        <v>0</v>
      </c>
      <c r="O37" s="9" t="n">
        <f aca="false">SUM(COUNTIF('January 2026'!C39:AG39,"S"),COUNTIF('February 2026'!C39:AD39,"S"),COUNTIF('March 2026'!C39:AG39,"S"),COUNTIF('April 2026'!C39:AF39,"S"),COUNTIF('May 2026'!C39:AG39,"S"),COUNTIF('June 2026'!C39:AF39,"S"),COUNTIF('July 2026'!C39:AG39,"S"),COUNTIF('August 2026'!C39:AG39,"S"),COUNTIF('September 2026'!C39:AF39,"S"),COUNTIF('October 2026'!C39:AG39,"S"),COUNTIF('November 2026'!C39:AF39,"S"),COUNTIF('December 2026'!C39:AG39,"S"))</f>
        <v>0</v>
      </c>
      <c r="P37" s="9" t="n">
        <f aca="false">SUM(COUNTIF('January 2026'!C39:AG39,"M"),COUNTIF('February 2026'!C39:AD39,"M"),COUNTIF('March 2026'!C39:AG39,"M"),COUNTIF('April 2026'!C39:AF39,"M"),COUNTIF('May 2026'!C39:AG39,"M"),COUNTIF('June 2026'!C39:AF39,"M"),COUNTIF('July 2026'!C39:AG39,"M"),COUNTIF('August 2026'!C39:AG39,"M"),COUNTIF('September 2026'!C39:AF39,"M"),COUNTIF('October 2026'!C39:AG39,"M"),COUNTIF('November 2026'!C39:AF39,"M"),COUNTIF('December 2026'!C39:AG39,"M"))</f>
        <v>0</v>
      </c>
      <c r="Q37" s="9" t="n">
        <f aca="false">SUM(COUNTIF('January 2026'!C39:AG39,"C"),COUNTIF('February 2026'!C39:AD39,"C"),COUNTIF('March 2026'!C39:AG39,"C"),COUNTIF('April 2026'!C39:AF39,"C"),COUNTIF('May 2026'!C39:AG39,"C"),COUNTIF('June 2026'!C39:AF39,"C"),COUNTIF('July 2026'!C39:AG39,"C"),COUNTIF('August 2026'!C39:AG39,"C"),COUNTIF('September 2026'!C39:AF39,"C"),COUNTIF('October 2026'!C39:AG39,"C"),COUNTIF('November 2026'!C39:AF39,"C"),COUNTIF('December 2026'!C39:AG39,"C"))</f>
        <v>0</v>
      </c>
      <c r="R37" s="9" t="n">
        <f aca="false">SUM(COUNTIF('January 2026'!C39:AG39,"V"),COUNTIF('February 2026'!C39:AD39,"V"),COUNTIF('March 2026'!C39:AG39,"V"),COUNTIF('April 2026'!C39:AF39,"V"),COUNTIF('May 2026'!C39:AG39,"V"),COUNTIF('June 2026'!C39:AF39,"V"),COUNTIF('July 2026'!C39:AG39,"V"),COUNTIF('August 2026'!C39:AG39,"V"),COUNTIF('September 2026'!C39:AF39,"V"),COUNTIF('October 2026'!C39:AG39,"V"),COUNTIF('November 2026'!C39:AF39,"V"),COUNTIF('December 2026'!C39:AG39,"V"))</f>
        <v>0</v>
      </c>
      <c r="S37" s="9" t="n">
        <f aca="false">SUM(COUNTIF('January 2026'!C39:AG39,"A"),COUNTIF('February 2026'!C39:AD39,"A"),COUNTIF('March 2026'!C39:AG39,"A"),COUNTIF('April 2026'!C39:AF39,"A"),COUNTIF('May 2026'!C39:AG39,"A"),COUNTIF('June 2026'!C39:AF39,"A"),COUNTIF('July 2026'!C39:AG39,"A"),COUNTIF('August 2026'!C39:AG39,"A"),COUNTIF('September 2026'!C39:AF39,"A"),COUNTIF('October 2026'!C39:AG39,"A"),COUNTIF('November 2026'!C39:AF39,"A"),COUNTIF('December 2026'!C39:AG39,"A"))</f>
        <v>0</v>
      </c>
    </row>
    <row r="38" customFormat="false" ht="19.5" hidden="false" customHeight="true" outlineLevel="0" collapsed="false">
      <c r="B38" s="8" t="n">
        <f aca="false">'January 2026'!B40</f>
        <v>0</v>
      </c>
      <c r="C38" s="9"/>
      <c r="D38" s="9"/>
      <c r="E38" s="9" t="n">
        <f aca="false">SUM(C38:D38)</f>
        <v>0</v>
      </c>
      <c r="G38" s="9" t="n">
        <f aca="false">SUM('January 2026'!AH40,'February 2026'!AE40,'March 2026'!AH40,'April 2026'!AG40,'May 2026'!AH40,'June 2026'!AG40,'July 2026'!AH40,'August 2026'!AH40,'September 2026'!AG40,'October 2026'!AH40,'November 2026'!AG40,'December 2026'!AH40)</f>
        <v>0</v>
      </c>
      <c r="H38" s="9" t="n">
        <f aca="false">E38-G38</f>
        <v>0</v>
      </c>
      <c r="J38" s="9" t="n">
        <f aca="false">SUM(COUNTIF('January 2026'!C40:AG40,"H"),COUNTIF('February 2026'!C40:AD40,"H"),COUNTIF('March 2026'!C40:AG40,"H"),COUNTIF('April 2026'!C40:AF40,"H"),COUNTIF('May 2026'!C40:AG40,"H"),COUNTIF('June 2026'!C40:AF40,"H"),COUNTIF('July 2026'!C40:AG40,"H"),COUNTIF('August 2026'!C40:AG40,"H"),COUNTIF('September 2026'!C40:AF40,"H"),COUNTIF('October 2026'!C40:AG40,"H"),COUNTIF('November 2026'!C40:AF40,"H"),COUNTIF('December 2026'!C40:AG40,"H"))</f>
        <v>0</v>
      </c>
      <c r="K38" s="9" t="n">
        <f aca="false">SUM(COUNTIF('January 2026'!C40:AG40,"H1"),COUNTIF('February 2026'!C40:AD40,"H1"),COUNTIF('March 2026'!C40:AG40,"H1"),COUNTIF('April 2026'!C40:AF40,"H1"),COUNTIF('May 2026'!C40:AG40,"H1"),COUNTIF('June 2026'!C40:AF40,"H1"),COUNTIF('July 2026'!C40:AG40,"H1"),COUNTIF('August 2026'!C40:AG40,"H1"),COUNTIF('September 2026'!C40:AF40,"H1"),COUNTIF('October 2026'!C40:AG40,"H1"),COUNTIF('November 2026'!C40:AF40,"H1"),COUNTIF('December 2026'!C40:AG40,"H1"))</f>
        <v>0</v>
      </c>
      <c r="L38" s="9" t="n">
        <f aca="false">SUM(COUNTIF('January 2026'!C40:AG40,"H2"),COUNTIF('February 2026'!C40:AD40,"H2"),COUNTIF('March 2026'!C40:AG40,"H2"),COUNTIF('April 2026'!C40:AF40,"H2"),COUNTIF('May 2026'!C40:AG40,"H2"),COUNTIF('June 2026'!C40:AF40,"H2"),COUNTIF('July 2026'!C40:AG40,"H2"),COUNTIF('August 2026'!C40:AG40,"H2"),COUNTIF('September 2026'!C40:AF40,"H2"),COUNTIF('October 2026'!C40:AG40,"H2"),COUNTIF('November 2026'!C40:AF40,"H2"),COUNTIF('December 2026'!C40:AG40,"H2"))</f>
        <v>0</v>
      </c>
      <c r="M38" s="9" t="n">
        <f aca="false">SUM(COUNTIF('January 2026'!C40:AG40,"Q"),COUNTIF('February 2026'!C40:AD40,"Q"),COUNTIF('March 2026'!C40:AG40,"Q"),COUNTIF('April 2026'!C40:AF40,"Q"),COUNTIF('May 2026'!C40:AG40,"Q"),COUNTIF('June 2026'!C40:AF40,"Q"),COUNTIF('July 2026'!C40:AG40,"Q"),COUNTIF('August 2026'!C40:AG40,"Q"),COUNTIF('September 2026'!C40:AF40,"Q"),COUNTIF('October 2026'!C40:AG40,"Q"),COUNTIF('November 2026'!C40:AF40,"Q"),COUNTIF('December 2026'!C40:AG40,"Q"))</f>
        <v>0</v>
      </c>
      <c r="N38" s="9" t="n">
        <f aca="false">SUM(COUNTIF('January 2026'!C40:AG40,"I"),COUNTIF('February 2026'!C40:AD40,"I"),COUNTIF('March 2026'!C40:AG40,"I"),COUNTIF('April 2026'!C40:AF40,"I"),COUNTIF('May 2026'!C40:AG40,"I"),COUNTIF('June 2026'!C40:AF40,"I"),COUNTIF('July 2026'!C40:AG40,"I"),COUNTIF('August 2026'!C40:AG40,"I"),COUNTIF('September 2026'!C40:AF40,"I"),COUNTIF('October 2026'!C40:AG40,"I"),COUNTIF('November 2026'!C40:AF40,"I"),COUNTIF('December 2026'!C40:AG40,"I"))</f>
        <v>0</v>
      </c>
      <c r="O38" s="9" t="n">
        <f aca="false">SUM(COUNTIF('January 2026'!C40:AG40,"S"),COUNTIF('February 2026'!C40:AD40,"S"),COUNTIF('March 2026'!C40:AG40,"S"),COUNTIF('April 2026'!C40:AF40,"S"),COUNTIF('May 2026'!C40:AG40,"S"),COUNTIF('June 2026'!C40:AF40,"S"),COUNTIF('July 2026'!C40:AG40,"S"),COUNTIF('August 2026'!C40:AG40,"S"),COUNTIF('September 2026'!C40:AF40,"S"),COUNTIF('October 2026'!C40:AG40,"S"),COUNTIF('November 2026'!C40:AF40,"S"),COUNTIF('December 2026'!C40:AG40,"S"))</f>
        <v>0</v>
      </c>
      <c r="P38" s="9" t="n">
        <f aca="false">SUM(COUNTIF('January 2026'!C40:AG40,"M"),COUNTIF('February 2026'!C40:AD40,"M"),COUNTIF('March 2026'!C40:AG40,"M"),COUNTIF('April 2026'!C40:AF40,"M"),COUNTIF('May 2026'!C40:AG40,"M"),COUNTIF('June 2026'!C40:AF40,"M"),COUNTIF('July 2026'!C40:AG40,"M"),COUNTIF('August 2026'!C40:AG40,"M"),COUNTIF('September 2026'!C40:AF40,"M"),COUNTIF('October 2026'!C40:AG40,"M"),COUNTIF('November 2026'!C40:AF40,"M"),COUNTIF('December 2026'!C40:AG40,"M"))</f>
        <v>0</v>
      </c>
      <c r="Q38" s="9" t="n">
        <f aca="false">SUM(COUNTIF('January 2026'!C40:AG40,"C"),COUNTIF('February 2026'!C40:AD40,"C"),COUNTIF('March 2026'!C40:AG40,"C"),COUNTIF('April 2026'!C40:AF40,"C"),COUNTIF('May 2026'!C40:AG40,"C"),COUNTIF('June 2026'!C40:AF40,"C"),COUNTIF('July 2026'!C40:AG40,"C"),COUNTIF('August 2026'!C40:AG40,"C"),COUNTIF('September 2026'!C40:AF40,"C"),COUNTIF('October 2026'!C40:AG40,"C"),COUNTIF('November 2026'!C40:AF40,"C"),COUNTIF('December 2026'!C40:AG40,"C"))</f>
        <v>0</v>
      </c>
      <c r="R38" s="9" t="n">
        <f aca="false">SUM(COUNTIF('January 2026'!C40:AG40,"V"),COUNTIF('February 2026'!C40:AD40,"V"),COUNTIF('March 2026'!C40:AG40,"V"),COUNTIF('April 2026'!C40:AF40,"V"),COUNTIF('May 2026'!C40:AG40,"V"),COUNTIF('June 2026'!C40:AF40,"V"),COUNTIF('July 2026'!C40:AG40,"V"),COUNTIF('August 2026'!C40:AG40,"V"),COUNTIF('September 2026'!C40:AF40,"V"),COUNTIF('October 2026'!C40:AG40,"V"),COUNTIF('November 2026'!C40:AF40,"V"),COUNTIF('December 2026'!C40:AG40,"V"))</f>
        <v>0</v>
      </c>
      <c r="S38" s="9" t="n">
        <f aca="false">SUM(COUNTIF('January 2026'!C40:AG40,"A"),COUNTIF('February 2026'!C40:AD40,"A"),COUNTIF('March 2026'!C40:AG40,"A"),COUNTIF('April 2026'!C40:AF40,"A"),COUNTIF('May 2026'!C40:AG40,"A"),COUNTIF('June 2026'!C40:AF40,"A"),COUNTIF('July 2026'!C40:AG40,"A"),COUNTIF('August 2026'!C40:AG40,"A"),COUNTIF('September 2026'!C40:AF40,"A"),COUNTIF('October 2026'!C40:AG40,"A"),COUNTIF('November 2026'!C40:AF40,"A"),COUNTIF('December 2026'!C40:AG40,"A"))</f>
        <v>0</v>
      </c>
    </row>
    <row r="39" customFormat="false" ht="19.5" hidden="false" customHeight="true" outlineLevel="0" collapsed="false">
      <c r="B39" s="8" t="n">
        <f aca="false">'January 2026'!B41</f>
        <v>0</v>
      </c>
      <c r="C39" s="9"/>
      <c r="D39" s="9"/>
      <c r="E39" s="9" t="n">
        <f aca="false">SUM(C39:D39)</f>
        <v>0</v>
      </c>
      <c r="G39" s="9" t="n">
        <f aca="false">SUM('January 2026'!AH41,'February 2026'!AE41,'March 2026'!AH41,'April 2026'!AG41,'May 2026'!AH41,'June 2026'!AG41,'July 2026'!AH41,'August 2026'!AH41,'September 2026'!AG41,'October 2026'!AH41,'November 2026'!AG41,'December 2026'!AH41)</f>
        <v>0</v>
      </c>
      <c r="H39" s="9" t="n">
        <f aca="false">E39-G39</f>
        <v>0</v>
      </c>
      <c r="J39" s="9" t="n">
        <f aca="false">SUM(COUNTIF('January 2026'!C41:AG41,"H"),COUNTIF('February 2026'!C41:AD41,"H"),COUNTIF('March 2026'!C41:AG41,"H"),COUNTIF('April 2026'!C41:AF41,"H"),COUNTIF('May 2026'!C41:AG41,"H"),COUNTIF('June 2026'!C41:AF41,"H"),COUNTIF('July 2026'!C41:AG41,"H"),COUNTIF('August 2026'!C41:AG41,"H"),COUNTIF('September 2026'!C41:AF41,"H"),COUNTIF('October 2026'!C41:AG41,"H"),COUNTIF('November 2026'!C41:AF41,"H"),COUNTIF('December 2026'!C41:AG41,"H"))</f>
        <v>0</v>
      </c>
      <c r="K39" s="9" t="n">
        <f aca="false">SUM(COUNTIF('January 2026'!C41:AG41,"H1"),COUNTIF('February 2026'!C41:AD41,"H1"),COUNTIF('March 2026'!C41:AG41,"H1"),COUNTIF('April 2026'!C41:AF41,"H1"),COUNTIF('May 2026'!C41:AG41,"H1"),COUNTIF('June 2026'!C41:AF41,"H1"),COUNTIF('July 2026'!C41:AG41,"H1"),COUNTIF('August 2026'!C41:AG41,"H1"),COUNTIF('September 2026'!C41:AF41,"H1"),COUNTIF('October 2026'!C41:AG41,"H1"),COUNTIF('November 2026'!C41:AF41,"H1"),COUNTIF('December 2026'!C41:AG41,"H1"))</f>
        <v>0</v>
      </c>
      <c r="L39" s="9" t="n">
        <f aca="false">SUM(COUNTIF('January 2026'!C41:AG41,"H2"),COUNTIF('February 2026'!C41:AD41,"H2"),COUNTIF('March 2026'!C41:AG41,"H2"),COUNTIF('April 2026'!C41:AF41,"H2"),COUNTIF('May 2026'!C41:AG41,"H2"),COUNTIF('June 2026'!C41:AF41,"H2"),COUNTIF('July 2026'!C41:AG41,"H2"),COUNTIF('August 2026'!C41:AG41,"H2"),COUNTIF('September 2026'!C41:AF41,"H2"),COUNTIF('October 2026'!C41:AG41,"H2"),COUNTIF('November 2026'!C41:AF41,"H2"),COUNTIF('December 2026'!C41:AG41,"H2"))</f>
        <v>0</v>
      </c>
      <c r="M39" s="9" t="n">
        <f aca="false">SUM(COUNTIF('January 2026'!C41:AG41,"Q"),COUNTIF('February 2026'!C41:AD41,"Q"),COUNTIF('March 2026'!C41:AG41,"Q"),COUNTIF('April 2026'!C41:AF41,"Q"),COUNTIF('May 2026'!C41:AG41,"Q"),COUNTIF('June 2026'!C41:AF41,"Q"),COUNTIF('July 2026'!C41:AG41,"Q"),COUNTIF('August 2026'!C41:AG41,"Q"),COUNTIF('September 2026'!C41:AF41,"Q"),COUNTIF('October 2026'!C41:AG41,"Q"),COUNTIF('November 2026'!C41:AF41,"Q"),COUNTIF('December 2026'!C41:AG41,"Q"))</f>
        <v>0</v>
      </c>
      <c r="N39" s="9" t="n">
        <f aca="false">SUM(COUNTIF('January 2026'!C41:AG41,"I"),COUNTIF('February 2026'!C41:AD41,"I"),COUNTIF('March 2026'!C41:AG41,"I"),COUNTIF('April 2026'!C41:AF41,"I"),COUNTIF('May 2026'!C41:AG41,"I"),COUNTIF('June 2026'!C41:AF41,"I"),COUNTIF('July 2026'!C41:AG41,"I"),COUNTIF('August 2026'!C41:AG41,"I"),COUNTIF('September 2026'!C41:AF41,"I"),COUNTIF('October 2026'!C41:AG41,"I"),COUNTIF('November 2026'!C41:AF41,"I"),COUNTIF('December 2026'!C41:AG41,"I"))</f>
        <v>0</v>
      </c>
      <c r="O39" s="9" t="n">
        <f aca="false">SUM(COUNTIF('January 2026'!C41:AG41,"S"),COUNTIF('February 2026'!C41:AD41,"S"),COUNTIF('March 2026'!C41:AG41,"S"),COUNTIF('April 2026'!C41:AF41,"S"),COUNTIF('May 2026'!C41:AG41,"S"),COUNTIF('June 2026'!C41:AF41,"S"),COUNTIF('July 2026'!C41:AG41,"S"),COUNTIF('August 2026'!C41:AG41,"S"),COUNTIF('September 2026'!C41:AF41,"S"),COUNTIF('October 2026'!C41:AG41,"S"),COUNTIF('November 2026'!C41:AF41,"S"),COUNTIF('December 2026'!C41:AG41,"S"))</f>
        <v>0</v>
      </c>
      <c r="P39" s="9" t="n">
        <f aca="false">SUM(COUNTIF('January 2026'!C41:AG41,"M"),COUNTIF('February 2026'!C41:AD41,"M"),COUNTIF('March 2026'!C41:AG41,"M"),COUNTIF('April 2026'!C41:AF41,"M"),COUNTIF('May 2026'!C41:AG41,"M"),COUNTIF('June 2026'!C41:AF41,"M"),COUNTIF('July 2026'!C41:AG41,"M"),COUNTIF('August 2026'!C41:AG41,"M"),COUNTIF('September 2026'!C41:AF41,"M"),COUNTIF('October 2026'!C41:AG41,"M"),COUNTIF('November 2026'!C41:AF41,"M"),COUNTIF('December 2026'!C41:AG41,"M"))</f>
        <v>0</v>
      </c>
      <c r="Q39" s="9" t="n">
        <f aca="false">SUM(COUNTIF('January 2026'!C41:AG41,"C"),COUNTIF('February 2026'!C41:AD41,"C"),COUNTIF('March 2026'!C41:AG41,"C"),COUNTIF('April 2026'!C41:AF41,"C"),COUNTIF('May 2026'!C41:AG41,"C"),COUNTIF('June 2026'!C41:AF41,"C"),COUNTIF('July 2026'!C41:AG41,"C"),COUNTIF('August 2026'!C41:AG41,"C"),COUNTIF('September 2026'!C41:AF41,"C"),COUNTIF('October 2026'!C41:AG41,"C"),COUNTIF('November 2026'!C41:AF41,"C"),COUNTIF('December 2026'!C41:AG41,"C"))</f>
        <v>0</v>
      </c>
      <c r="R39" s="9" t="n">
        <f aca="false">SUM(COUNTIF('January 2026'!C41:AG41,"V"),COUNTIF('February 2026'!C41:AD41,"V"),COUNTIF('March 2026'!C41:AG41,"V"),COUNTIF('April 2026'!C41:AF41,"V"),COUNTIF('May 2026'!C41:AG41,"V"),COUNTIF('June 2026'!C41:AF41,"V"),COUNTIF('July 2026'!C41:AG41,"V"),COUNTIF('August 2026'!C41:AG41,"V"),COUNTIF('September 2026'!C41:AF41,"V"),COUNTIF('October 2026'!C41:AG41,"V"),COUNTIF('November 2026'!C41:AF41,"V"),COUNTIF('December 2026'!C41:AG41,"V"))</f>
        <v>0</v>
      </c>
      <c r="S39" s="9" t="n">
        <f aca="false">SUM(COUNTIF('January 2026'!C41:AG41,"A"),COUNTIF('February 2026'!C41:AD41,"A"),COUNTIF('March 2026'!C41:AG41,"A"),COUNTIF('April 2026'!C41:AF41,"A"),COUNTIF('May 2026'!C41:AG41,"A"),COUNTIF('June 2026'!C41:AF41,"A"),COUNTIF('July 2026'!C41:AG41,"A"),COUNTIF('August 2026'!C41:AG41,"A"),COUNTIF('September 2026'!C41:AF41,"A"),COUNTIF('October 2026'!C41:AG41,"A"),COUNTIF('November 2026'!C41:AF41,"A"),COUNTIF('December 2026'!C41:AG41,"A"))</f>
        <v>0</v>
      </c>
    </row>
    <row r="40" customFormat="false" ht="19.5" hidden="false" customHeight="true" outlineLevel="0" collapsed="false">
      <c r="B40" s="8" t="n">
        <f aca="false">'January 2026'!B42</f>
        <v>0</v>
      </c>
      <c r="C40" s="9"/>
      <c r="D40" s="9"/>
      <c r="E40" s="9" t="n">
        <f aca="false">SUM(C40:D40)</f>
        <v>0</v>
      </c>
      <c r="G40" s="9" t="n">
        <f aca="false">SUM('January 2026'!AH42,'February 2026'!AE42,'March 2026'!AH42,'April 2026'!AG42,'May 2026'!AH42,'June 2026'!AG42,'July 2026'!AH42,'August 2026'!AH42,'September 2026'!AG42,'October 2026'!AH42,'November 2026'!AG42,'December 2026'!AH42)</f>
        <v>0</v>
      </c>
      <c r="H40" s="9" t="n">
        <f aca="false">E40-G40</f>
        <v>0</v>
      </c>
      <c r="J40" s="9" t="n">
        <f aca="false">SUM(COUNTIF('January 2026'!C42:AG42,"H"),COUNTIF('February 2026'!C42:AD42,"H"),COUNTIF('March 2026'!C42:AG42,"H"),COUNTIF('April 2026'!C42:AF42,"H"),COUNTIF('May 2026'!C42:AG42,"H"),COUNTIF('June 2026'!C42:AF42,"H"),COUNTIF('July 2026'!C42:AG42,"H"),COUNTIF('August 2026'!C42:AG42,"H"),COUNTIF('September 2026'!C42:AF42,"H"),COUNTIF('October 2026'!C42:AG42,"H"),COUNTIF('November 2026'!C42:AF42,"H"),COUNTIF('December 2026'!C42:AG42,"H"))</f>
        <v>0</v>
      </c>
      <c r="K40" s="9" t="n">
        <f aca="false">SUM(COUNTIF('January 2026'!C42:AG42,"H1"),COUNTIF('February 2026'!C42:AD42,"H1"),COUNTIF('March 2026'!C42:AG42,"H1"),COUNTIF('April 2026'!C42:AF42,"H1"),COUNTIF('May 2026'!C42:AG42,"H1"),COUNTIF('June 2026'!C42:AF42,"H1"),COUNTIF('July 2026'!C42:AG42,"H1"),COUNTIF('August 2026'!C42:AG42,"H1"),COUNTIF('September 2026'!C42:AF42,"H1"),COUNTIF('October 2026'!C42:AG42,"H1"),COUNTIF('November 2026'!C42:AF42,"H1"),COUNTIF('December 2026'!C42:AG42,"H1"))</f>
        <v>0</v>
      </c>
      <c r="L40" s="9" t="n">
        <f aca="false">SUM(COUNTIF('January 2026'!C42:AG42,"H2"),COUNTIF('February 2026'!C42:AD42,"H2"),COUNTIF('March 2026'!C42:AG42,"H2"),COUNTIF('April 2026'!C42:AF42,"H2"),COUNTIF('May 2026'!C42:AG42,"H2"),COUNTIF('June 2026'!C42:AF42,"H2"),COUNTIF('July 2026'!C42:AG42,"H2"),COUNTIF('August 2026'!C42:AG42,"H2"),COUNTIF('September 2026'!C42:AF42,"H2"),COUNTIF('October 2026'!C42:AG42,"H2"),COUNTIF('November 2026'!C42:AF42,"H2"),COUNTIF('December 2026'!C42:AG42,"H2"))</f>
        <v>0</v>
      </c>
      <c r="M40" s="9" t="n">
        <f aca="false">SUM(COUNTIF('January 2026'!C42:AG42,"Q"),COUNTIF('February 2026'!C42:AD42,"Q"),COUNTIF('March 2026'!C42:AG42,"Q"),COUNTIF('April 2026'!C42:AF42,"Q"),COUNTIF('May 2026'!C42:AG42,"Q"),COUNTIF('June 2026'!C42:AF42,"Q"),COUNTIF('July 2026'!C42:AG42,"Q"),COUNTIF('August 2026'!C42:AG42,"Q"),COUNTIF('September 2026'!C42:AF42,"Q"),COUNTIF('October 2026'!C42:AG42,"Q"),COUNTIF('November 2026'!C42:AF42,"Q"),COUNTIF('December 2026'!C42:AG42,"Q"))</f>
        <v>0</v>
      </c>
      <c r="N40" s="9" t="n">
        <f aca="false">SUM(COUNTIF('January 2026'!C42:AG42,"I"),COUNTIF('February 2026'!C42:AD42,"I"),COUNTIF('March 2026'!C42:AG42,"I"),COUNTIF('April 2026'!C42:AF42,"I"),COUNTIF('May 2026'!C42:AG42,"I"),COUNTIF('June 2026'!C42:AF42,"I"),COUNTIF('July 2026'!C42:AG42,"I"),COUNTIF('August 2026'!C42:AG42,"I"),COUNTIF('September 2026'!C42:AF42,"I"),COUNTIF('October 2026'!C42:AG42,"I"),COUNTIF('November 2026'!C42:AF42,"I"),COUNTIF('December 2026'!C42:AG42,"I"))</f>
        <v>0</v>
      </c>
      <c r="O40" s="9" t="n">
        <f aca="false">SUM(COUNTIF('January 2026'!C42:AG42,"S"),COUNTIF('February 2026'!C42:AD42,"S"),COUNTIF('March 2026'!C42:AG42,"S"),COUNTIF('April 2026'!C42:AF42,"S"),COUNTIF('May 2026'!C42:AG42,"S"),COUNTIF('June 2026'!C42:AF42,"S"),COUNTIF('July 2026'!C42:AG42,"S"),COUNTIF('August 2026'!C42:AG42,"S"),COUNTIF('September 2026'!C42:AF42,"S"),COUNTIF('October 2026'!C42:AG42,"S"),COUNTIF('November 2026'!C42:AF42,"S"),COUNTIF('December 2026'!C42:AG42,"S"))</f>
        <v>0</v>
      </c>
      <c r="P40" s="9" t="n">
        <f aca="false">SUM(COUNTIF('January 2026'!C42:AG42,"M"),COUNTIF('February 2026'!C42:AD42,"M"),COUNTIF('March 2026'!C42:AG42,"M"),COUNTIF('April 2026'!C42:AF42,"M"),COUNTIF('May 2026'!C42:AG42,"M"),COUNTIF('June 2026'!C42:AF42,"M"),COUNTIF('July 2026'!C42:AG42,"M"),COUNTIF('August 2026'!C42:AG42,"M"),COUNTIF('September 2026'!C42:AF42,"M"),COUNTIF('October 2026'!C42:AG42,"M"),COUNTIF('November 2026'!C42:AF42,"M"),COUNTIF('December 2026'!C42:AG42,"M"))</f>
        <v>0</v>
      </c>
      <c r="Q40" s="9" t="n">
        <f aca="false">SUM(COUNTIF('January 2026'!C42:AG42,"C"),COUNTIF('February 2026'!C42:AD42,"C"),COUNTIF('March 2026'!C42:AG42,"C"),COUNTIF('April 2026'!C42:AF42,"C"),COUNTIF('May 2026'!C42:AG42,"C"),COUNTIF('June 2026'!C42:AF42,"C"),COUNTIF('July 2026'!C42:AG42,"C"),COUNTIF('August 2026'!C42:AG42,"C"),COUNTIF('September 2026'!C42:AF42,"C"),COUNTIF('October 2026'!C42:AG42,"C"),COUNTIF('November 2026'!C42:AF42,"C"),COUNTIF('December 2026'!C42:AG42,"C"))</f>
        <v>0</v>
      </c>
      <c r="R40" s="9" t="n">
        <f aca="false">SUM(COUNTIF('January 2026'!C42:AG42,"V"),COUNTIF('February 2026'!C42:AD42,"V"),COUNTIF('March 2026'!C42:AG42,"V"),COUNTIF('April 2026'!C42:AF42,"V"),COUNTIF('May 2026'!C42:AG42,"V"),COUNTIF('June 2026'!C42:AF42,"V"),COUNTIF('July 2026'!C42:AG42,"V"),COUNTIF('August 2026'!C42:AG42,"V"),COUNTIF('September 2026'!C42:AF42,"V"),COUNTIF('October 2026'!C42:AG42,"V"),COUNTIF('November 2026'!C42:AF42,"V"),COUNTIF('December 2026'!C42:AG42,"V"))</f>
        <v>0</v>
      </c>
      <c r="S40" s="9" t="n">
        <f aca="false">SUM(COUNTIF('January 2026'!C42:AG42,"A"),COUNTIF('February 2026'!C42:AD42,"A"),COUNTIF('March 2026'!C42:AG42,"A"),COUNTIF('April 2026'!C42:AF42,"A"),COUNTIF('May 2026'!C42:AG42,"A"),COUNTIF('June 2026'!C42:AF42,"A"),COUNTIF('July 2026'!C42:AG42,"A"),COUNTIF('August 2026'!C42:AG42,"A"),COUNTIF('September 2026'!C42:AF42,"A"),COUNTIF('October 2026'!C42:AG42,"A"),COUNTIF('November 2026'!C42:AF42,"A"),COUNTIF('December 2026'!C42:AG42,"A"))</f>
        <v>0</v>
      </c>
    </row>
    <row r="41" customFormat="false" ht="19.5" hidden="false" customHeight="true" outlineLevel="0" collapsed="false">
      <c r="B41" s="8" t="n">
        <f aca="false">'January 2026'!B43</f>
        <v>0</v>
      </c>
      <c r="C41" s="9"/>
      <c r="D41" s="9"/>
      <c r="E41" s="9" t="n">
        <f aca="false">SUM(C41:D41)</f>
        <v>0</v>
      </c>
      <c r="G41" s="9" t="n">
        <f aca="false">SUM('January 2026'!AH43,'February 2026'!AE43,'March 2026'!AH43,'April 2026'!AG43,'May 2026'!AH43,'June 2026'!AG43,'July 2026'!AH43,'August 2026'!AH43,'September 2026'!AG43,'October 2026'!AH43,'November 2026'!AG43,'December 2026'!AH43)</f>
        <v>0</v>
      </c>
      <c r="H41" s="9" t="n">
        <f aca="false">E41-G41</f>
        <v>0</v>
      </c>
      <c r="J41" s="9" t="n">
        <f aca="false">SUM(COUNTIF('January 2026'!C43:AG43,"H"),COUNTIF('February 2026'!C43:AD43,"H"),COUNTIF('March 2026'!C43:AG43,"H"),COUNTIF('April 2026'!C43:AF43,"H"),COUNTIF('May 2026'!C43:AG43,"H"),COUNTIF('June 2026'!C43:AF43,"H"),COUNTIF('July 2026'!C43:AG43,"H"),COUNTIF('August 2026'!C43:AG43,"H"),COUNTIF('September 2026'!C43:AF43,"H"),COUNTIF('October 2026'!C43:AG43,"H"),COUNTIF('November 2026'!C43:AF43,"H"),COUNTIF('December 2026'!C43:AG43,"H"))</f>
        <v>0</v>
      </c>
      <c r="K41" s="9" t="n">
        <f aca="false">SUM(COUNTIF('January 2026'!C43:AG43,"H1"),COUNTIF('February 2026'!C43:AD43,"H1"),COUNTIF('March 2026'!C43:AG43,"H1"),COUNTIF('April 2026'!C43:AF43,"H1"),COUNTIF('May 2026'!C43:AG43,"H1"),COUNTIF('June 2026'!C43:AF43,"H1"),COUNTIF('July 2026'!C43:AG43,"H1"),COUNTIF('August 2026'!C43:AG43,"H1"),COUNTIF('September 2026'!C43:AF43,"H1"),COUNTIF('October 2026'!C43:AG43,"H1"),COUNTIF('November 2026'!C43:AF43,"H1"),COUNTIF('December 2026'!C43:AG43,"H1"))</f>
        <v>0</v>
      </c>
      <c r="L41" s="9" t="n">
        <f aca="false">SUM(COUNTIF('January 2026'!C43:AG43,"H2"),COUNTIF('February 2026'!C43:AD43,"H2"),COUNTIF('March 2026'!C43:AG43,"H2"),COUNTIF('April 2026'!C43:AF43,"H2"),COUNTIF('May 2026'!C43:AG43,"H2"),COUNTIF('June 2026'!C43:AF43,"H2"),COUNTIF('July 2026'!C43:AG43,"H2"),COUNTIF('August 2026'!C43:AG43,"H2"),COUNTIF('September 2026'!C43:AF43,"H2"),COUNTIF('October 2026'!C43:AG43,"H2"),COUNTIF('November 2026'!C43:AF43,"H2"),COUNTIF('December 2026'!C43:AG43,"H2"))</f>
        <v>0</v>
      </c>
      <c r="M41" s="9" t="n">
        <f aca="false">SUM(COUNTIF('January 2026'!C43:AG43,"Q"),COUNTIF('February 2026'!C43:AD43,"Q"),COUNTIF('March 2026'!C43:AG43,"Q"),COUNTIF('April 2026'!C43:AF43,"Q"),COUNTIF('May 2026'!C43:AG43,"Q"),COUNTIF('June 2026'!C43:AF43,"Q"),COUNTIF('July 2026'!C43:AG43,"Q"),COUNTIF('August 2026'!C43:AG43,"Q"),COUNTIF('September 2026'!C43:AF43,"Q"),COUNTIF('October 2026'!C43:AG43,"Q"),COUNTIF('November 2026'!C43:AF43,"Q"),COUNTIF('December 2026'!C43:AG43,"Q"))</f>
        <v>0</v>
      </c>
      <c r="N41" s="9" t="n">
        <f aca="false">SUM(COUNTIF('January 2026'!C43:AG43,"I"),COUNTIF('February 2026'!C43:AD43,"I"),COUNTIF('March 2026'!C43:AG43,"I"),COUNTIF('April 2026'!C43:AF43,"I"),COUNTIF('May 2026'!C43:AG43,"I"),COUNTIF('June 2026'!C43:AF43,"I"),COUNTIF('July 2026'!C43:AG43,"I"),COUNTIF('August 2026'!C43:AG43,"I"),COUNTIF('September 2026'!C43:AF43,"I"),COUNTIF('October 2026'!C43:AG43,"I"),COUNTIF('November 2026'!C43:AF43,"I"),COUNTIF('December 2026'!C43:AG43,"I"))</f>
        <v>0</v>
      </c>
      <c r="O41" s="9" t="n">
        <f aca="false">SUM(COUNTIF('January 2026'!C43:AG43,"S"),COUNTIF('February 2026'!C43:AD43,"S"),COUNTIF('March 2026'!C43:AG43,"S"),COUNTIF('April 2026'!C43:AF43,"S"),COUNTIF('May 2026'!C43:AG43,"S"),COUNTIF('June 2026'!C43:AF43,"S"),COUNTIF('July 2026'!C43:AG43,"S"),COUNTIF('August 2026'!C43:AG43,"S"),COUNTIF('September 2026'!C43:AF43,"S"),COUNTIF('October 2026'!C43:AG43,"S"),COUNTIF('November 2026'!C43:AF43,"S"),COUNTIF('December 2026'!C43:AG43,"S"))</f>
        <v>0</v>
      </c>
      <c r="P41" s="9" t="n">
        <f aca="false">SUM(COUNTIF('January 2026'!C43:AG43,"M"),COUNTIF('February 2026'!C43:AD43,"M"),COUNTIF('March 2026'!C43:AG43,"M"),COUNTIF('April 2026'!C43:AF43,"M"),COUNTIF('May 2026'!C43:AG43,"M"),COUNTIF('June 2026'!C43:AF43,"M"),COUNTIF('July 2026'!C43:AG43,"M"),COUNTIF('August 2026'!C43:AG43,"M"),COUNTIF('September 2026'!C43:AF43,"M"),COUNTIF('October 2026'!C43:AG43,"M"),COUNTIF('November 2026'!C43:AF43,"M"),COUNTIF('December 2026'!C43:AG43,"M"))</f>
        <v>0</v>
      </c>
      <c r="Q41" s="9" t="n">
        <f aca="false">SUM(COUNTIF('January 2026'!C43:AG43,"C"),COUNTIF('February 2026'!C43:AD43,"C"),COUNTIF('March 2026'!C43:AG43,"C"),COUNTIF('April 2026'!C43:AF43,"C"),COUNTIF('May 2026'!C43:AG43,"C"),COUNTIF('June 2026'!C43:AF43,"C"),COUNTIF('July 2026'!C43:AG43,"C"),COUNTIF('August 2026'!C43:AG43,"C"),COUNTIF('September 2026'!C43:AF43,"C"),COUNTIF('October 2026'!C43:AG43,"C"),COUNTIF('November 2026'!C43:AF43,"C"),COUNTIF('December 2026'!C43:AG43,"C"))</f>
        <v>0</v>
      </c>
      <c r="R41" s="9" t="n">
        <f aca="false">SUM(COUNTIF('January 2026'!C43:AG43,"V"),COUNTIF('February 2026'!C43:AD43,"V"),COUNTIF('March 2026'!C43:AG43,"V"),COUNTIF('April 2026'!C43:AF43,"V"),COUNTIF('May 2026'!C43:AG43,"V"),COUNTIF('June 2026'!C43:AF43,"V"),COUNTIF('July 2026'!C43:AG43,"V"),COUNTIF('August 2026'!C43:AG43,"V"),COUNTIF('September 2026'!C43:AF43,"V"),COUNTIF('October 2026'!C43:AG43,"V"),COUNTIF('November 2026'!C43:AF43,"V"),COUNTIF('December 2026'!C43:AG43,"V"))</f>
        <v>0</v>
      </c>
      <c r="S41" s="9" t="n">
        <f aca="false">SUM(COUNTIF('January 2026'!C43:AG43,"A"),COUNTIF('February 2026'!C43:AD43,"A"),COUNTIF('March 2026'!C43:AG43,"A"),COUNTIF('April 2026'!C43:AF43,"A"),COUNTIF('May 2026'!C43:AG43,"A"),COUNTIF('June 2026'!C43:AF43,"A"),COUNTIF('July 2026'!C43:AG43,"A"),COUNTIF('August 2026'!C43:AG43,"A"),COUNTIF('September 2026'!C43:AF43,"A"),COUNTIF('October 2026'!C43:AG43,"A"),COUNTIF('November 2026'!C43:AF43,"A"),COUNTIF('December 2026'!C43:AG43,"A"))</f>
        <v>0</v>
      </c>
    </row>
    <row r="42" customFormat="false" ht="19.5" hidden="false" customHeight="true" outlineLevel="0" collapsed="false">
      <c r="B42" s="8" t="n">
        <f aca="false">'January 2026'!B44</f>
        <v>0</v>
      </c>
      <c r="C42" s="9"/>
      <c r="D42" s="9"/>
      <c r="E42" s="9" t="n">
        <f aca="false">SUM(C42:D42)</f>
        <v>0</v>
      </c>
      <c r="G42" s="9" t="n">
        <f aca="false">SUM('January 2026'!AH44,'February 2026'!AE44,'March 2026'!AH44,'April 2026'!AG44,'May 2026'!AH44,'June 2026'!AG44,'July 2026'!AH44,'August 2026'!AH44,'September 2026'!AG44,'October 2026'!AH44,'November 2026'!AG44,'December 2026'!AH44)</f>
        <v>0</v>
      </c>
      <c r="H42" s="9" t="n">
        <f aca="false">E42-G42</f>
        <v>0</v>
      </c>
      <c r="J42" s="9" t="n">
        <f aca="false">SUM(COUNTIF('January 2026'!C44:AG44,"H"),COUNTIF('February 2026'!C44:AD44,"H"),COUNTIF('March 2026'!C44:AG44,"H"),COUNTIF('April 2026'!C44:AF44,"H"),COUNTIF('May 2026'!C44:AG44,"H"),COUNTIF('June 2026'!C44:AF44,"H"),COUNTIF('July 2026'!C44:AG44,"H"),COUNTIF('August 2026'!C44:AG44,"H"),COUNTIF('September 2026'!C44:AF44,"H"),COUNTIF('October 2026'!C44:AG44,"H"),COUNTIF('November 2026'!C44:AF44,"H"),COUNTIF('December 2026'!C44:AG44,"H"))</f>
        <v>0</v>
      </c>
      <c r="K42" s="9" t="n">
        <f aca="false">SUM(COUNTIF('January 2026'!C44:AG44,"H1"),COUNTIF('February 2026'!C44:AD44,"H1"),COUNTIF('March 2026'!C44:AG44,"H1"),COUNTIF('April 2026'!C44:AF44,"H1"),COUNTIF('May 2026'!C44:AG44,"H1"),COUNTIF('June 2026'!C44:AF44,"H1"),COUNTIF('July 2026'!C44:AG44,"H1"),COUNTIF('August 2026'!C44:AG44,"H1"),COUNTIF('September 2026'!C44:AF44,"H1"),COUNTIF('October 2026'!C44:AG44,"H1"),COUNTIF('November 2026'!C44:AF44,"H1"),COUNTIF('December 2026'!C44:AG44,"H1"))</f>
        <v>0</v>
      </c>
      <c r="L42" s="9" t="n">
        <f aca="false">SUM(COUNTIF('January 2026'!C44:AG44,"H2"),COUNTIF('February 2026'!C44:AD44,"H2"),COUNTIF('March 2026'!C44:AG44,"H2"),COUNTIF('April 2026'!C44:AF44,"H2"),COUNTIF('May 2026'!C44:AG44,"H2"),COUNTIF('June 2026'!C44:AF44,"H2"),COUNTIF('July 2026'!C44:AG44,"H2"),COUNTIF('August 2026'!C44:AG44,"H2"),COUNTIF('September 2026'!C44:AF44,"H2"),COUNTIF('October 2026'!C44:AG44,"H2"),COUNTIF('November 2026'!C44:AF44,"H2"),COUNTIF('December 2026'!C44:AG44,"H2"))</f>
        <v>0</v>
      </c>
      <c r="M42" s="9" t="n">
        <f aca="false">SUM(COUNTIF('January 2026'!C44:AG44,"Q"),COUNTIF('February 2026'!C44:AD44,"Q"),COUNTIF('March 2026'!C44:AG44,"Q"),COUNTIF('April 2026'!C44:AF44,"Q"),COUNTIF('May 2026'!C44:AG44,"Q"),COUNTIF('June 2026'!C44:AF44,"Q"),COUNTIF('July 2026'!C44:AG44,"Q"),COUNTIF('August 2026'!C44:AG44,"Q"),COUNTIF('September 2026'!C44:AF44,"Q"),COUNTIF('October 2026'!C44:AG44,"Q"),COUNTIF('November 2026'!C44:AF44,"Q"),COUNTIF('December 2026'!C44:AG44,"Q"))</f>
        <v>0</v>
      </c>
      <c r="N42" s="9" t="n">
        <f aca="false">SUM(COUNTIF('January 2026'!C44:AG44,"I"),COUNTIF('February 2026'!C44:AD44,"I"),COUNTIF('March 2026'!C44:AG44,"I"),COUNTIF('April 2026'!C44:AF44,"I"),COUNTIF('May 2026'!C44:AG44,"I"),COUNTIF('June 2026'!C44:AF44,"I"),COUNTIF('July 2026'!C44:AG44,"I"),COUNTIF('August 2026'!C44:AG44,"I"),COUNTIF('September 2026'!C44:AF44,"I"),COUNTIF('October 2026'!C44:AG44,"I"),COUNTIF('November 2026'!C44:AF44,"I"),COUNTIF('December 2026'!C44:AG44,"I"))</f>
        <v>0</v>
      </c>
      <c r="O42" s="9" t="n">
        <f aca="false">SUM(COUNTIF('January 2026'!C44:AG44,"S"),COUNTIF('February 2026'!C44:AD44,"S"),COUNTIF('March 2026'!C44:AG44,"S"),COUNTIF('April 2026'!C44:AF44,"S"),COUNTIF('May 2026'!C44:AG44,"S"),COUNTIF('June 2026'!C44:AF44,"S"),COUNTIF('July 2026'!C44:AG44,"S"),COUNTIF('August 2026'!C44:AG44,"S"),COUNTIF('September 2026'!C44:AF44,"S"),COUNTIF('October 2026'!C44:AG44,"S"),COUNTIF('November 2026'!C44:AF44,"S"),COUNTIF('December 2026'!C44:AG44,"S"))</f>
        <v>0</v>
      </c>
      <c r="P42" s="9" t="n">
        <f aca="false">SUM(COUNTIF('January 2026'!C44:AG44,"M"),COUNTIF('February 2026'!C44:AD44,"M"),COUNTIF('March 2026'!C44:AG44,"M"),COUNTIF('April 2026'!C44:AF44,"M"),COUNTIF('May 2026'!C44:AG44,"M"),COUNTIF('June 2026'!C44:AF44,"M"),COUNTIF('July 2026'!C44:AG44,"M"),COUNTIF('August 2026'!C44:AG44,"M"),COUNTIF('September 2026'!C44:AF44,"M"),COUNTIF('October 2026'!C44:AG44,"M"),COUNTIF('November 2026'!C44:AF44,"M"),COUNTIF('December 2026'!C44:AG44,"M"))</f>
        <v>0</v>
      </c>
      <c r="Q42" s="9" t="n">
        <f aca="false">SUM(COUNTIF('January 2026'!C44:AG44,"C"),COUNTIF('February 2026'!C44:AD44,"C"),COUNTIF('March 2026'!C44:AG44,"C"),COUNTIF('April 2026'!C44:AF44,"C"),COUNTIF('May 2026'!C44:AG44,"C"),COUNTIF('June 2026'!C44:AF44,"C"),COUNTIF('July 2026'!C44:AG44,"C"),COUNTIF('August 2026'!C44:AG44,"C"),COUNTIF('September 2026'!C44:AF44,"C"),COUNTIF('October 2026'!C44:AG44,"C"),COUNTIF('November 2026'!C44:AF44,"C"),COUNTIF('December 2026'!C44:AG44,"C"))</f>
        <v>0</v>
      </c>
      <c r="R42" s="9" t="n">
        <f aca="false">SUM(COUNTIF('January 2026'!C44:AG44,"V"),COUNTIF('February 2026'!C44:AD44,"V"),COUNTIF('March 2026'!C44:AG44,"V"),COUNTIF('April 2026'!C44:AF44,"V"),COUNTIF('May 2026'!C44:AG44,"V"),COUNTIF('June 2026'!C44:AF44,"V"),COUNTIF('July 2026'!C44:AG44,"V"),COUNTIF('August 2026'!C44:AG44,"V"),COUNTIF('September 2026'!C44:AF44,"V"),COUNTIF('October 2026'!C44:AG44,"V"),COUNTIF('November 2026'!C44:AF44,"V"),COUNTIF('December 2026'!C44:AG44,"V"))</f>
        <v>0</v>
      </c>
      <c r="S42" s="9" t="n">
        <f aca="false">SUM(COUNTIF('January 2026'!C44:AG44,"A"),COUNTIF('February 2026'!C44:AD44,"A"),COUNTIF('March 2026'!C44:AG44,"A"),COUNTIF('April 2026'!C44:AF44,"A"),COUNTIF('May 2026'!C44:AG44,"A"),COUNTIF('June 2026'!C44:AF44,"A"),COUNTIF('July 2026'!C44:AG44,"A"),COUNTIF('August 2026'!C44:AG44,"A"),COUNTIF('September 2026'!C44:AF44,"A"),COUNTIF('October 2026'!C44:AG44,"A"),COUNTIF('November 2026'!C44:AF44,"A"),COUNTIF('December 2026'!C44:AG44,"A"))</f>
        <v>0</v>
      </c>
    </row>
    <row r="43" customFormat="false" ht="19.5" hidden="false" customHeight="true" outlineLevel="0" collapsed="false">
      <c r="B43" s="8" t="n">
        <f aca="false">'January 2026'!B45</f>
        <v>0</v>
      </c>
      <c r="C43" s="9"/>
      <c r="D43" s="9"/>
      <c r="E43" s="9" t="n">
        <f aca="false">SUM(C43:D43)</f>
        <v>0</v>
      </c>
      <c r="G43" s="9" t="n">
        <f aca="false">SUM('January 2026'!AH45,'February 2026'!AE45,'March 2026'!AH45,'April 2026'!AG45,'May 2026'!AH45,'June 2026'!AG45,'July 2026'!AH45,'August 2026'!AH45,'September 2026'!AG45,'October 2026'!AH45,'November 2026'!AG45,'December 2026'!AH45)</f>
        <v>0</v>
      </c>
      <c r="H43" s="9" t="n">
        <f aca="false">E43-G43</f>
        <v>0</v>
      </c>
      <c r="J43" s="9" t="n">
        <f aca="false">SUM(COUNTIF('January 2026'!C45:AG45,"H"),COUNTIF('February 2026'!C45:AD45,"H"),COUNTIF('March 2026'!C45:AG45,"H"),COUNTIF('April 2026'!C45:AF45,"H"),COUNTIF('May 2026'!C45:AG45,"H"),COUNTIF('June 2026'!C45:AF45,"H"),COUNTIF('July 2026'!C45:AG45,"H"),COUNTIF('August 2026'!C45:AG45,"H"),COUNTIF('September 2026'!C45:AF45,"H"),COUNTIF('October 2026'!C45:AG45,"H"),COUNTIF('November 2026'!C45:AF45,"H"),COUNTIF('December 2026'!C45:AG45,"H"))</f>
        <v>0</v>
      </c>
      <c r="K43" s="9" t="n">
        <f aca="false">SUM(COUNTIF('January 2026'!C45:AG45,"H1"),COUNTIF('February 2026'!C45:AD45,"H1"),COUNTIF('March 2026'!C45:AG45,"H1"),COUNTIF('April 2026'!C45:AF45,"H1"),COUNTIF('May 2026'!C45:AG45,"H1"),COUNTIF('June 2026'!C45:AF45,"H1"),COUNTIF('July 2026'!C45:AG45,"H1"),COUNTIF('August 2026'!C45:AG45,"H1"),COUNTIF('September 2026'!C45:AF45,"H1"),COUNTIF('October 2026'!C45:AG45,"H1"),COUNTIF('November 2026'!C45:AF45,"H1"),COUNTIF('December 2026'!C45:AG45,"H1"))</f>
        <v>0</v>
      </c>
      <c r="L43" s="9" t="n">
        <f aca="false">SUM(COUNTIF('January 2026'!C45:AG45,"H2"),COUNTIF('February 2026'!C45:AD45,"H2"),COUNTIF('March 2026'!C45:AG45,"H2"),COUNTIF('April 2026'!C45:AF45,"H2"),COUNTIF('May 2026'!C45:AG45,"H2"),COUNTIF('June 2026'!C45:AF45,"H2"),COUNTIF('July 2026'!C45:AG45,"H2"),COUNTIF('August 2026'!C45:AG45,"H2"),COUNTIF('September 2026'!C45:AF45,"H2"),COUNTIF('October 2026'!C45:AG45,"H2"),COUNTIF('November 2026'!C45:AF45,"H2"),COUNTIF('December 2026'!C45:AG45,"H2"))</f>
        <v>0</v>
      </c>
      <c r="M43" s="9" t="n">
        <f aca="false">SUM(COUNTIF('January 2026'!C45:AG45,"Q"),COUNTIF('February 2026'!C45:AD45,"Q"),COUNTIF('March 2026'!C45:AG45,"Q"),COUNTIF('April 2026'!C45:AF45,"Q"),COUNTIF('May 2026'!C45:AG45,"Q"),COUNTIF('June 2026'!C45:AF45,"Q"),COUNTIF('July 2026'!C45:AG45,"Q"),COUNTIF('August 2026'!C45:AG45,"Q"),COUNTIF('September 2026'!C45:AF45,"Q"),COUNTIF('October 2026'!C45:AG45,"Q"),COUNTIF('November 2026'!C45:AF45,"Q"),COUNTIF('December 2026'!C45:AG45,"Q"))</f>
        <v>0</v>
      </c>
      <c r="N43" s="9" t="n">
        <f aca="false">SUM(COUNTIF('January 2026'!C45:AG45,"I"),COUNTIF('February 2026'!C45:AD45,"I"),COUNTIF('March 2026'!C45:AG45,"I"),COUNTIF('April 2026'!C45:AF45,"I"),COUNTIF('May 2026'!C45:AG45,"I"),COUNTIF('June 2026'!C45:AF45,"I"),COUNTIF('July 2026'!C45:AG45,"I"),COUNTIF('August 2026'!C45:AG45,"I"),COUNTIF('September 2026'!C45:AF45,"I"),COUNTIF('October 2026'!C45:AG45,"I"),COUNTIF('November 2026'!C45:AF45,"I"),COUNTIF('December 2026'!C45:AG45,"I"))</f>
        <v>0</v>
      </c>
      <c r="O43" s="9" t="n">
        <f aca="false">SUM(COUNTIF('January 2026'!C45:AG45,"S"),COUNTIF('February 2026'!C45:AD45,"S"),COUNTIF('March 2026'!C45:AG45,"S"),COUNTIF('April 2026'!C45:AF45,"S"),COUNTIF('May 2026'!C45:AG45,"S"),COUNTIF('June 2026'!C45:AF45,"S"),COUNTIF('July 2026'!C45:AG45,"S"),COUNTIF('August 2026'!C45:AG45,"S"),COUNTIF('September 2026'!C45:AF45,"S"),COUNTIF('October 2026'!C45:AG45,"S"),COUNTIF('November 2026'!C45:AF45,"S"),COUNTIF('December 2026'!C45:AG45,"S"))</f>
        <v>0</v>
      </c>
      <c r="P43" s="9" t="n">
        <f aca="false">SUM(COUNTIF('January 2026'!C45:AG45,"M"),COUNTIF('February 2026'!C45:AD45,"M"),COUNTIF('March 2026'!C45:AG45,"M"),COUNTIF('April 2026'!C45:AF45,"M"),COUNTIF('May 2026'!C45:AG45,"M"),COUNTIF('June 2026'!C45:AF45,"M"),COUNTIF('July 2026'!C45:AG45,"M"),COUNTIF('August 2026'!C45:AG45,"M"),COUNTIF('September 2026'!C45:AF45,"M"),COUNTIF('October 2026'!C45:AG45,"M"),COUNTIF('November 2026'!C45:AF45,"M"),COUNTIF('December 2026'!C45:AG45,"M"))</f>
        <v>0</v>
      </c>
      <c r="Q43" s="9" t="n">
        <f aca="false">SUM(COUNTIF('January 2026'!C45:AG45,"C"),COUNTIF('February 2026'!C45:AD45,"C"),COUNTIF('March 2026'!C45:AG45,"C"),COUNTIF('April 2026'!C45:AF45,"C"),COUNTIF('May 2026'!C45:AG45,"C"),COUNTIF('June 2026'!C45:AF45,"C"),COUNTIF('July 2026'!C45:AG45,"C"),COUNTIF('August 2026'!C45:AG45,"C"),COUNTIF('September 2026'!C45:AF45,"C"),COUNTIF('October 2026'!C45:AG45,"C"),COUNTIF('November 2026'!C45:AF45,"C"),COUNTIF('December 2026'!C45:AG45,"C"))</f>
        <v>0</v>
      </c>
      <c r="R43" s="9" t="n">
        <f aca="false">SUM(COUNTIF('January 2026'!C45:AG45,"V"),COUNTIF('February 2026'!C45:AD45,"V"),COUNTIF('March 2026'!C45:AG45,"V"),COUNTIF('April 2026'!C45:AF45,"V"),COUNTIF('May 2026'!C45:AG45,"V"),COUNTIF('June 2026'!C45:AF45,"V"),COUNTIF('July 2026'!C45:AG45,"V"),COUNTIF('August 2026'!C45:AG45,"V"),COUNTIF('September 2026'!C45:AF45,"V"),COUNTIF('October 2026'!C45:AG45,"V"),COUNTIF('November 2026'!C45:AF45,"V"),COUNTIF('December 2026'!C45:AG45,"V"))</f>
        <v>0</v>
      </c>
      <c r="S43" s="9" t="n">
        <f aca="false">SUM(COUNTIF('January 2026'!C45:AG45,"A"),COUNTIF('February 2026'!C45:AD45,"A"),COUNTIF('March 2026'!C45:AG45,"A"),COUNTIF('April 2026'!C45:AF45,"A"),COUNTIF('May 2026'!C45:AG45,"A"),COUNTIF('June 2026'!C45:AF45,"A"),COUNTIF('July 2026'!C45:AG45,"A"),COUNTIF('August 2026'!C45:AG45,"A"),COUNTIF('September 2026'!C45:AF45,"A"),COUNTIF('October 2026'!C45:AG45,"A"),COUNTIF('November 2026'!C45:AF45,"A"),COUNTIF('December 2026'!C45:AG45,"A"))</f>
        <v>0</v>
      </c>
    </row>
    <row r="44" customFormat="false" ht="19.5" hidden="false" customHeight="true" outlineLevel="0" collapsed="false">
      <c r="B44" s="8" t="n">
        <f aca="false">'January 2026'!B46</f>
        <v>0</v>
      </c>
      <c r="C44" s="9"/>
      <c r="D44" s="9"/>
      <c r="E44" s="9" t="n">
        <f aca="false">SUM(C44:D44)</f>
        <v>0</v>
      </c>
      <c r="G44" s="9" t="n">
        <f aca="false">SUM('January 2026'!AH46,'February 2026'!AE46,'March 2026'!AH46,'April 2026'!AG46,'May 2026'!AH46,'June 2026'!AG46,'July 2026'!AH46,'August 2026'!AH46,'September 2026'!AG46,'October 2026'!AH46,'November 2026'!AG46,'December 2026'!AH46)</f>
        <v>0</v>
      </c>
      <c r="H44" s="9" t="n">
        <f aca="false">E44-G44</f>
        <v>0</v>
      </c>
      <c r="J44" s="9" t="n">
        <f aca="false">SUM(COUNTIF('January 2026'!C46:AG46,"H"),COUNTIF('February 2026'!C46:AD46,"H"),COUNTIF('March 2026'!C46:AG46,"H"),COUNTIF('April 2026'!C46:AF46,"H"),COUNTIF('May 2026'!C46:AG46,"H"),COUNTIF('June 2026'!C46:AF46,"H"),COUNTIF('July 2026'!C46:AG46,"H"),COUNTIF('August 2026'!C46:AG46,"H"),COUNTIF('September 2026'!C46:AF46,"H"),COUNTIF('October 2026'!C46:AG46,"H"),COUNTIF('November 2026'!C46:AF46,"H"),COUNTIF('December 2026'!C46:AG46,"H"))</f>
        <v>0</v>
      </c>
      <c r="K44" s="9" t="n">
        <f aca="false">SUM(COUNTIF('January 2026'!C46:AG46,"H1"),COUNTIF('February 2026'!C46:AD46,"H1"),COUNTIF('March 2026'!C46:AG46,"H1"),COUNTIF('April 2026'!C46:AF46,"H1"),COUNTIF('May 2026'!C46:AG46,"H1"),COUNTIF('June 2026'!C46:AF46,"H1"),COUNTIF('July 2026'!C46:AG46,"H1"),COUNTIF('August 2026'!C46:AG46,"H1"),COUNTIF('September 2026'!C46:AF46,"H1"),COUNTIF('October 2026'!C46:AG46,"H1"),COUNTIF('November 2026'!C46:AF46,"H1"),COUNTIF('December 2026'!C46:AG46,"H1"))</f>
        <v>0</v>
      </c>
      <c r="L44" s="9" t="n">
        <f aca="false">SUM(COUNTIF('January 2026'!C46:AG46,"H2"),COUNTIF('February 2026'!C46:AD46,"H2"),COUNTIF('March 2026'!C46:AG46,"H2"),COUNTIF('April 2026'!C46:AF46,"H2"),COUNTIF('May 2026'!C46:AG46,"H2"),COUNTIF('June 2026'!C46:AF46,"H2"),COUNTIF('July 2026'!C46:AG46,"H2"),COUNTIF('August 2026'!C46:AG46,"H2"),COUNTIF('September 2026'!C46:AF46,"H2"),COUNTIF('October 2026'!C46:AG46,"H2"),COUNTIF('November 2026'!C46:AF46,"H2"),COUNTIF('December 2026'!C46:AG46,"H2"))</f>
        <v>0</v>
      </c>
      <c r="M44" s="9" t="n">
        <f aca="false">SUM(COUNTIF('January 2026'!C46:AG46,"Q"),COUNTIF('February 2026'!C46:AD46,"Q"),COUNTIF('March 2026'!C46:AG46,"Q"),COUNTIF('April 2026'!C46:AF46,"Q"),COUNTIF('May 2026'!C46:AG46,"Q"),COUNTIF('June 2026'!C46:AF46,"Q"),COUNTIF('July 2026'!C46:AG46,"Q"),COUNTIF('August 2026'!C46:AG46,"Q"),COUNTIF('September 2026'!C46:AF46,"Q"),COUNTIF('October 2026'!C46:AG46,"Q"),COUNTIF('November 2026'!C46:AF46,"Q"),COUNTIF('December 2026'!C46:AG46,"Q"))</f>
        <v>0</v>
      </c>
      <c r="N44" s="9" t="n">
        <f aca="false">SUM(COUNTIF('January 2026'!C46:AG46,"I"),COUNTIF('February 2026'!C46:AD46,"I"),COUNTIF('March 2026'!C46:AG46,"I"),COUNTIF('April 2026'!C46:AF46,"I"),COUNTIF('May 2026'!C46:AG46,"I"),COUNTIF('June 2026'!C46:AF46,"I"),COUNTIF('July 2026'!C46:AG46,"I"),COUNTIF('August 2026'!C46:AG46,"I"),COUNTIF('September 2026'!C46:AF46,"I"),COUNTIF('October 2026'!C46:AG46,"I"),COUNTIF('November 2026'!C46:AF46,"I"),COUNTIF('December 2026'!C46:AG46,"I"))</f>
        <v>0</v>
      </c>
      <c r="O44" s="9" t="n">
        <f aca="false">SUM(COUNTIF('January 2026'!C46:AG46,"S"),COUNTIF('February 2026'!C46:AD46,"S"),COUNTIF('March 2026'!C46:AG46,"S"),COUNTIF('April 2026'!C46:AF46,"S"),COUNTIF('May 2026'!C46:AG46,"S"),COUNTIF('June 2026'!C46:AF46,"S"),COUNTIF('July 2026'!C46:AG46,"S"),COUNTIF('August 2026'!C46:AG46,"S"),COUNTIF('September 2026'!C46:AF46,"S"),COUNTIF('October 2026'!C46:AG46,"S"),COUNTIF('November 2026'!C46:AF46,"S"),COUNTIF('December 2026'!C46:AG46,"S"))</f>
        <v>0</v>
      </c>
      <c r="P44" s="9" t="n">
        <f aca="false">SUM(COUNTIF('January 2026'!C46:AG46,"M"),COUNTIF('February 2026'!C46:AD46,"M"),COUNTIF('March 2026'!C46:AG46,"M"),COUNTIF('April 2026'!C46:AF46,"M"),COUNTIF('May 2026'!C46:AG46,"M"),COUNTIF('June 2026'!C46:AF46,"M"),COUNTIF('July 2026'!C46:AG46,"M"),COUNTIF('August 2026'!C46:AG46,"M"),COUNTIF('September 2026'!C46:AF46,"M"),COUNTIF('October 2026'!C46:AG46,"M"),COUNTIF('November 2026'!C46:AF46,"M"),COUNTIF('December 2026'!C46:AG46,"M"))</f>
        <v>0</v>
      </c>
      <c r="Q44" s="9" t="n">
        <f aca="false">SUM(COUNTIF('January 2026'!C46:AG46,"C"),COUNTIF('February 2026'!C46:AD46,"C"),COUNTIF('March 2026'!C46:AG46,"C"),COUNTIF('April 2026'!C46:AF46,"C"),COUNTIF('May 2026'!C46:AG46,"C"),COUNTIF('June 2026'!C46:AF46,"C"),COUNTIF('July 2026'!C46:AG46,"C"),COUNTIF('August 2026'!C46:AG46,"C"),COUNTIF('September 2026'!C46:AF46,"C"),COUNTIF('October 2026'!C46:AG46,"C"),COUNTIF('November 2026'!C46:AF46,"C"),COUNTIF('December 2026'!C46:AG46,"C"))</f>
        <v>0</v>
      </c>
      <c r="R44" s="9" t="n">
        <f aca="false">SUM(COUNTIF('January 2026'!C46:AG46,"V"),COUNTIF('February 2026'!C46:AD46,"V"),COUNTIF('March 2026'!C46:AG46,"V"),COUNTIF('April 2026'!C46:AF46,"V"),COUNTIF('May 2026'!C46:AG46,"V"),COUNTIF('June 2026'!C46:AF46,"V"),COUNTIF('July 2026'!C46:AG46,"V"),COUNTIF('August 2026'!C46:AG46,"V"),COUNTIF('September 2026'!C46:AF46,"V"),COUNTIF('October 2026'!C46:AG46,"V"),COUNTIF('November 2026'!C46:AF46,"V"),COUNTIF('December 2026'!C46:AG46,"V"))</f>
        <v>0</v>
      </c>
      <c r="S44" s="9" t="n">
        <f aca="false">SUM(COUNTIF('January 2026'!C46:AG46,"A"),COUNTIF('February 2026'!C46:AD46,"A"),COUNTIF('March 2026'!C46:AG46,"A"),COUNTIF('April 2026'!C46:AF46,"A"),COUNTIF('May 2026'!C46:AG46,"A"),COUNTIF('June 2026'!C46:AF46,"A"),COUNTIF('July 2026'!C46:AG46,"A"),COUNTIF('August 2026'!C46:AG46,"A"),COUNTIF('September 2026'!C46:AF46,"A"),COUNTIF('October 2026'!C46:AG46,"A"),COUNTIF('November 2026'!C46:AF46,"A"),COUNTIF('December 2026'!C46:AG46,"A"))</f>
        <v>0</v>
      </c>
    </row>
    <row r="45" customFormat="false" ht="19.5" hidden="false" customHeight="true" outlineLevel="0" collapsed="false">
      <c r="B45" s="8" t="n">
        <f aca="false">'January 2026'!B47</f>
        <v>0</v>
      </c>
      <c r="C45" s="9"/>
      <c r="D45" s="9"/>
      <c r="E45" s="9" t="n">
        <f aca="false">SUM(C45:D45)</f>
        <v>0</v>
      </c>
      <c r="G45" s="9" t="n">
        <f aca="false">SUM('January 2026'!AH47,'February 2026'!AE47,'March 2026'!AH47,'April 2026'!AG47,'May 2026'!AH47,'June 2026'!AG47,'July 2026'!AH47,'August 2026'!AH47,'September 2026'!AG47,'October 2026'!AH47,'November 2026'!AG47,'December 2026'!AH47)</f>
        <v>0</v>
      </c>
      <c r="H45" s="9" t="n">
        <f aca="false">E45-G45</f>
        <v>0</v>
      </c>
      <c r="J45" s="9" t="n">
        <f aca="false">SUM(COUNTIF('January 2026'!C47:AG47,"H"),COUNTIF('February 2026'!C47:AD47,"H"),COUNTIF('March 2026'!C47:AG47,"H"),COUNTIF('April 2026'!C47:AF47,"H"),COUNTIF('May 2026'!C47:AG47,"H"),COUNTIF('June 2026'!C47:AF47,"H"),COUNTIF('July 2026'!C47:AG47,"H"),COUNTIF('August 2026'!C47:AG47,"H"),COUNTIF('September 2026'!C47:AF47,"H"),COUNTIF('October 2026'!C47:AG47,"H"),COUNTIF('November 2026'!C47:AF47,"H"),COUNTIF('December 2026'!C47:AG47,"H"))</f>
        <v>0</v>
      </c>
      <c r="K45" s="9" t="n">
        <f aca="false">SUM(COUNTIF('January 2026'!C47:AG47,"H1"),COUNTIF('February 2026'!C47:AD47,"H1"),COUNTIF('March 2026'!C47:AG47,"H1"),COUNTIF('April 2026'!C47:AF47,"H1"),COUNTIF('May 2026'!C47:AG47,"H1"),COUNTIF('June 2026'!C47:AF47,"H1"),COUNTIF('July 2026'!C47:AG47,"H1"),COUNTIF('August 2026'!C47:AG47,"H1"),COUNTIF('September 2026'!C47:AF47,"H1"),COUNTIF('October 2026'!C47:AG47,"H1"),COUNTIF('November 2026'!C47:AF47,"H1"),COUNTIF('December 2026'!C47:AG47,"H1"))</f>
        <v>0</v>
      </c>
      <c r="L45" s="9" t="n">
        <f aca="false">SUM(COUNTIF('January 2026'!C47:AG47,"H2"),COUNTIF('February 2026'!C47:AD47,"H2"),COUNTIF('March 2026'!C47:AG47,"H2"),COUNTIF('April 2026'!C47:AF47,"H2"),COUNTIF('May 2026'!C47:AG47,"H2"),COUNTIF('June 2026'!C47:AF47,"H2"),COUNTIF('July 2026'!C47:AG47,"H2"),COUNTIF('August 2026'!C47:AG47,"H2"),COUNTIF('September 2026'!C47:AF47,"H2"),COUNTIF('October 2026'!C47:AG47,"H2"),COUNTIF('November 2026'!C47:AF47,"H2"),COUNTIF('December 2026'!C47:AG47,"H2"))</f>
        <v>0</v>
      </c>
      <c r="M45" s="9" t="n">
        <f aca="false">SUM(COUNTIF('January 2026'!C47:AG47,"Q"),COUNTIF('February 2026'!C47:AD47,"Q"),COUNTIF('March 2026'!C47:AG47,"Q"),COUNTIF('April 2026'!C47:AF47,"Q"),COUNTIF('May 2026'!C47:AG47,"Q"),COUNTIF('June 2026'!C47:AF47,"Q"),COUNTIF('July 2026'!C47:AG47,"Q"),COUNTIF('August 2026'!C47:AG47,"Q"),COUNTIF('September 2026'!C47:AF47,"Q"),COUNTIF('October 2026'!C47:AG47,"Q"),COUNTIF('November 2026'!C47:AF47,"Q"),COUNTIF('December 2026'!C47:AG47,"Q"))</f>
        <v>0</v>
      </c>
      <c r="N45" s="9" t="n">
        <f aca="false">SUM(COUNTIF('January 2026'!C47:AG47,"I"),COUNTIF('February 2026'!C47:AD47,"I"),COUNTIF('March 2026'!C47:AG47,"I"),COUNTIF('April 2026'!C47:AF47,"I"),COUNTIF('May 2026'!C47:AG47,"I"),COUNTIF('June 2026'!C47:AF47,"I"),COUNTIF('July 2026'!C47:AG47,"I"),COUNTIF('August 2026'!C47:AG47,"I"),COUNTIF('September 2026'!C47:AF47,"I"),COUNTIF('October 2026'!C47:AG47,"I"),COUNTIF('November 2026'!C47:AF47,"I"),COUNTIF('December 2026'!C47:AG47,"I"))</f>
        <v>0</v>
      </c>
      <c r="O45" s="9" t="n">
        <f aca="false">SUM(COUNTIF('January 2026'!C47:AG47,"S"),COUNTIF('February 2026'!C47:AD47,"S"),COUNTIF('March 2026'!C47:AG47,"S"),COUNTIF('April 2026'!C47:AF47,"S"),COUNTIF('May 2026'!C47:AG47,"S"),COUNTIF('June 2026'!C47:AF47,"S"),COUNTIF('July 2026'!C47:AG47,"S"),COUNTIF('August 2026'!C47:AG47,"S"),COUNTIF('September 2026'!C47:AF47,"S"),COUNTIF('October 2026'!C47:AG47,"S"),COUNTIF('November 2026'!C47:AF47,"S"),COUNTIF('December 2026'!C47:AG47,"S"))</f>
        <v>0</v>
      </c>
      <c r="P45" s="9" t="n">
        <f aca="false">SUM(COUNTIF('January 2026'!C47:AG47,"M"),COUNTIF('February 2026'!C47:AD47,"M"),COUNTIF('March 2026'!C47:AG47,"M"),COUNTIF('April 2026'!C47:AF47,"M"),COUNTIF('May 2026'!C47:AG47,"M"),COUNTIF('June 2026'!C47:AF47,"M"),COUNTIF('July 2026'!C47:AG47,"M"),COUNTIF('August 2026'!C47:AG47,"M"),COUNTIF('September 2026'!C47:AF47,"M"),COUNTIF('October 2026'!C47:AG47,"M"),COUNTIF('November 2026'!C47:AF47,"M"),COUNTIF('December 2026'!C47:AG47,"M"))</f>
        <v>0</v>
      </c>
      <c r="Q45" s="9" t="n">
        <f aca="false">SUM(COUNTIF('January 2026'!C47:AG47,"C"),COUNTIF('February 2026'!C47:AD47,"C"),COUNTIF('March 2026'!C47:AG47,"C"),COUNTIF('April 2026'!C47:AF47,"C"),COUNTIF('May 2026'!C47:AG47,"C"),COUNTIF('June 2026'!C47:AF47,"C"),COUNTIF('July 2026'!C47:AG47,"C"),COUNTIF('August 2026'!C47:AG47,"C"),COUNTIF('September 2026'!C47:AF47,"C"),COUNTIF('October 2026'!C47:AG47,"C"),COUNTIF('November 2026'!C47:AF47,"C"),COUNTIF('December 2026'!C47:AG47,"C"))</f>
        <v>0</v>
      </c>
      <c r="R45" s="9" t="n">
        <f aca="false">SUM(COUNTIF('January 2026'!C47:AG47,"V"),COUNTIF('February 2026'!C47:AD47,"V"),COUNTIF('March 2026'!C47:AG47,"V"),COUNTIF('April 2026'!C47:AF47,"V"),COUNTIF('May 2026'!C47:AG47,"V"),COUNTIF('June 2026'!C47:AF47,"V"),COUNTIF('July 2026'!C47:AG47,"V"),COUNTIF('August 2026'!C47:AG47,"V"),COUNTIF('September 2026'!C47:AF47,"V"),COUNTIF('October 2026'!C47:AG47,"V"),COUNTIF('November 2026'!C47:AF47,"V"),COUNTIF('December 2026'!C47:AG47,"V"))</f>
        <v>0</v>
      </c>
      <c r="S45" s="9" t="n">
        <f aca="false">SUM(COUNTIF('January 2026'!C47:AG47,"A"),COUNTIF('February 2026'!C47:AD47,"A"),COUNTIF('March 2026'!C47:AG47,"A"),COUNTIF('April 2026'!C47:AF47,"A"),COUNTIF('May 2026'!C47:AG47,"A"),COUNTIF('June 2026'!C47:AF47,"A"),COUNTIF('July 2026'!C47:AG47,"A"),COUNTIF('August 2026'!C47:AG47,"A"),COUNTIF('September 2026'!C47:AF47,"A"),COUNTIF('October 2026'!C47:AG47,"A"),COUNTIF('November 2026'!C47:AF47,"A"),COUNTIF('December 2026'!C47:AG47,"A"))</f>
        <v>0</v>
      </c>
    </row>
    <row r="46" customFormat="false" ht="19.5" hidden="false" customHeight="true" outlineLevel="0" collapsed="false">
      <c r="B46" s="8" t="n">
        <f aca="false">'January 2026'!B48</f>
        <v>0</v>
      </c>
      <c r="C46" s="9"/>
      <c r="D46" s="9"/>
      <c r="E46" s="9" t="n">
        <f aca="false">SUM(C46:D46)</f>
        <v>0</v>
      </c>
      <c r="G46" s="9" t="n">
        <f aca="false">SUM('January 2026'!AH48,'February 2026'!AE48,'March 2026'!AH48,'April 2026'!AG48,'May 2026'!AH48,'June 2026'!AG48,'July 2026'!AH48,'August 2026'!AH48,'September 2026'!AG48,'October 2026'!AH48,'November 2026'!AG48,'December 2026'!AH48)</f>
        <v>0</v>
      </c>
      <c r="H46" s="9" t="n">
        <f aca="false">E46-G46</f>
        <v>0</v>
      </c>
      <c r="J46" s="9" t="n">
        <f aca="false">SUM(COUNTIF('January 2026'!C48:AG48,"H"),COUNTIF('February 2026'!C48:AD48,"H"),COUNTIF('March 2026'!C48:AG48,"H"),COUNTIF('April 2026'!C48:AF48,"H"),COUNTIF('May 2026'!C48:AG48,"H"),COUNTIF('June 2026'!C48:AF48,"H"),COUNTIF('July 2026'!C48:AG48,"H"),COUNTIF('August 2026'!C48:AG48,"H"),COUNTIF('September 2026'!C48:AF48,"H"),COUNTIF('October 2026'!C48:AG48,"H"),COUNTIF('November 2026'!C48:AF48,"H"),COUNTIF('December 2026'!C48:AG48,"H"))</f>
        <v>0</v>
      </c>
      <c r="K46" s="9" t="n">
        <f aca="false">SUM(COUNTIF('January 2026'!C48:AG48,"H1"),COUNTIF('February 2026'!C48:AD48,"H1"),COUNTIF('March 2026'!C48:AG48,"H1"),COUNTIF('April 2026'!C48:AF48,"H1"),COUNTIF('May 2026'!C48:AG48,"H1"),COUNTIF('June 2026'!C48:AF48,"H1"),COUNTIF('July 2026'!C48:AG48,"H1"),COUNTIF('August 2026'!C48:AG48,"H1"),COUNTIF('September 2026'!C48:AF48,"H1"),COUNTIF('October 2026'!C48:AG48,"H1"),COUNTIF('November 2026'!C48:AF48,"H1"),COUNTIF('December 2026'!C48:AG48,"H1"))</f>
        <v>0</v>
      </c>
      <c r="L46" s="9" t="n">
        <f aca="false">SUM(COUNTIF('January 2026'!C48:AG48,"H2"),COUNTIF('February 2026'!C48:AD48,"H2"),COUNTIF('March 2026'!C48:AG48,"H2"),COUNTIF('April 2026'!C48:AF48,"H2"),COUNTIF('May 2026'!C48:AG48,"H2"),COUNTIF('June 2026'!C48:AF48,"H2"),COUNTIF('July 2026'!C48:AG48,"H2"),COUNTIF('August 2026'!C48:AG48,"H2"),COUNTIF('September 2026'!C48:AF48,"H2"),COUNTIF('October 2026'!C48:AG48,"H2"),COUNTIF('November 2026'!C48:AF48,"H2"),COUNTIF('December 2026'!C48:AG48,"H2"))</f>
        <v>0</v>
      </c>
      <c r="M46" s="9" t="n">
        <f aca="false">SUM(COUNTIF('January 2026'!C48:AG48,"Q"),COUNTIF('February 2026'!C48:AD48,"Q"),COUNTIF('March 2026'!C48:AG48,"Q"),COUNTIF('April 2026'!C48:AF48,"Q"),COUNTIF('May 2026'!C48:AG48,"Q"),COUNTIF('June 2026'!C48:AF48,"Q"),COUNTIF('July 2026'!C48:AG48,"Q"),COUNTIF('August 2026'!C48:AG48,"Q"),COUNTIF('September 2026'!C48:AF48,"Q"),COUNTIF('October 2026'!C48:AG48,"Q"),COUNTIF('November 2026'!C48:AF48,"Q"),COUNTIF('December 2026'!C48:AG48,"Q"))</f>
        <v>0</v>
      </c>
      <c r="N46" s="9" t="n">
        <f aca="false">SUM(COUNTIF('January 2026'!C48:AG48,"I"),COUNTIF('February 2026'!C48:AD48,"I"),COUNTIF('March 2026'!C48:AG48,"I"),COUNTIF('April 2026'!C48:AF48,"I"),COUNTIF('May 2026'!C48:AG48,"I"),COUNTIF('June 2026'!C48:AF48,"I"),COUNTIF('July 2026'!C48:AG48,"I"),COUNTIF('August 2026'!C48:AG48,"I"),COUNTIF('September 2026'!C48:AF48,"I"),COUNTIF('October 2026'!C48:AG48,"I"),COUNTIF('November 2026'!C48:AF48,"I"),COUNTIF('December 2026'!C48:AG48,"I"))</f>
        <v>0</v>
      </c>
      <c r="O46" s="9" t="n">
        <f aca="false">SUM(COUNTIF('January 2026'!C48:AG48,"S"),COUNTIF('February 2026'!C48:AD48,"S"),COUNTIF('March 2026'!C48:AG48,"S"),COUNTIF('April 2026'!C48:AF48,"S"),COUNTIF('May 2026'!C48:AG48,"S"),COUNTIF('June 2026'!C48:AF48,"S"),COUNTIF('July 2026'!C48:AG48,"S"),COUNTIF('August 2026'!C48:AG48,"S"),COUNTIF('September 2026'!C48:AF48,"S"),COUNTIF('October 2026'!C48:AG48,"S"),COUNTIF('November 2026'!C48:AF48,"S"),COUNTIF('December 2026'!C48:AG48,"S"))</f>
        <v>0</v>
      </c>
      <c r="P46" s="9" t="n">
        <f aca="false">SUM(COUNTIF('January 2026'!C48:AG48,"M"),COUNTIF('February 2026'!C48:AD48,"M"),COUNTIF('March 2026'!C48:AG48,"M"),COUNTIF('April 2026'!C48:AF48,"M"),COUNTIF('May 2026'!C48:AG48,"M"),COUNTIF('June 2026'!C48:AF48,"M"),COUNTIF('July 2026'!C48:AG48,"M"),COUNTIF('August 2026'!C48:AG48,"M"),COUNTIF('September 2026'!C48:AF48,"M"),COUNTIF('October 2026'!C48:AG48,"M"),COUNTIF('November 2026'!C48:AF48,"M"),COUNTIF('December 2026'!C48:AG48,"M"))</f>
        <v>0</v>
      </c>
      <c r="Q46" s="9" t="n">
        <f aca="false">SUM(COUNTIF('January 2026'!C48:AG48,"C"),COUNTIF('February 2026'!C48:AD48,"C"),COUNTIF('March 2026'!C48:AG48,"C"),COUNTIF('April 2026'!C48:AF48,"C"),COUNTIF('May 2026'!C48:AG48,"C"),COUNTIF('June 2026'!C48:AF48,"C"),COUNTIF('July 2026'!C48:AG48,"C"),COUNTIF('August 2026'!C48:AG48,"C"),COUNTIF('September 2026'!C48:AF48,"C"),COUNTIF('October 2026'!C48:AG48,"C"),COUNTIF('November 2026'!C48:AF48,"C"),COUNTIF('December 2026'!C48:AG48,"C"))</f>
        <v>0</v>
      </c>
      <c r="R46" s="9" t="n">
        <f aca="false">SUM(COUNTIF('January 2026'!C48:AG48,"V"),COUNTIF('February 2026'!C48:AD48,"V"),COUNTIF('March 2026'!C48:AG48,"V"),COUNTIF('April 2026'!C48:AF48,"V"),COUNTIF('May 2026'!C48:AG48,"V"),COUNTIF('June 2026'!C48:AF48,"V"),COUNTIF('July 2026'!C48:AG48,"V"),COUNTIF('August 2026'!C48:AG48,"V"),COUNTIF('September 2026'!C48:AF48,"V"),COUNTIF('October 2026'!C48:AG48,"V"),COUNTIF('November 2026'!C48:AF48,"V"),COUNTIF('December 2026'!C48:AG48,"V"))</f>
        <v>0</v>
      </c>
      <c r="S46" s="9" t="n">
        <f aca="false">SUM(COUNTIF('January 2026'!C48:AG48,"A"),COUNTIF('February 2026'!C48:AD48,"A"),COUNTIF('March 2026'!C48:AG48,"A"),COUNTIF('April 2026'!C48:AF48,"A"),COUNTIF('May 2026'!C48:AG48,"A"),COUNTIF('June 2026'!C48:AF48,"A"),COUNTIF('July 2026'!C48:AG48,"A"),COUNTIF('August 2026'!C48:AG48,"A"),COUNTIF('September 2026'!C48:AF48,"A"),COUNTIF('October 2026'!C48:AG48,"A"),COUNTIF('November 2026'!C48:AF48,"A"),COUNTIF('December 2026'!C48:AG48,"A"))</f>
        <v>0</v>
      </c>
    </row>
    <row r="47" customFormat="false" ht="19.5" hidden="false" customHeight="true" outlineLevel="0" collapsed="false">
      <c r="B47" s="8" t="n">
        <f aca="false">'January 2026'!B49</f>
        <v>0</v>
      </c>
      <c r="C47" s="9"/>
      <c r="D47" s="9"/>
      <c r="E47" s="9" t="n">
        <f aca="false">SUM(C47:D47)</f>
        <v>0</v>
      </c>
      <c r="G47" s="9" t="n">
        <f aca="false">SUM('January 2026'!AH49,'February 2026'!AE49,'March 2026'!AH49,'April 2026'!AG49,'May 2026'!AH49,'June 2026'!AG49,'July 2026'!AH49,'August 2026'!AH49,'September 2026'!AG49,'October 2026'!AH49,'November 2026'!AG49,'December 2026'!AH49)</f>
        <v>0</v>
      </c>
      <c r="H47" s="9" t="n">
        <f aca="false">E47-G47</f>
        <v>0</v>
      </c>
      <c r="J47" s="9" t="n">
        <f aca="false">SUM(COUNTIF('January 2026'!C49:AG49,"H"),COUNTIF('February 2026'!C49:AD49,"H"),COUNTIF('March 2026'!C49:AG49,"H"),COUNTIF('April 2026'!C49:AF49,"H"),COUNTIF('May 2026'!C49:AG49,"H"),COUNTIF('June 2026'!C49:AF49,"H"),COUNTIF('July 2026'!C49:AG49,"H"),COUNTIF('August 2026'!C49:AG49,"H"),COUNTIF('September 2026'!C49:AF49,"H"),COUNTIF('October 2026'!C49:AG49,"H"),COUNTIF('November 2026'!C49:AF49,"H"),COUNTIF('December 2026'!C49:AG49,"H"))</f>
        <v>0</v>
      </c>
      <c r="K47" s="9" t="n">
        <f aca="false">SUM(COUNTIF('January 2026'!C49:AG49,"H1"),COUNTIF('February 2026'!C49:AD49,"H1"),COUNTIF('March 2026'!C49:AG49,"H1"),COUNTIF('April 2026'!C49:AF49,"H1"),COUNTIF('May 2026'!C49:AG49,"H1"),COUNTIF('June 2026'!C49:AF49,"H1"),COUNTIF('July 2026'!C49:AG49,"H1"),COUNTIF('August 2026'!C49:AG49,"H1"),COUNTIF('September 2026'!C49:AF49,"H1"),COUNTIF('October 2026'!C49:AG49,"H1"),COUNTIF('November 2026'!C49:AF49,"H1"),COUNTIF('December 2026'!C49:AG49,"H1"))</f>
        <v>0</v>
      </c>
      <c r="L47" s="9" t="n">
        <f aca="false">SUM(COUNTIF('January 2026'!C49:AG49,"H2"),COUNTIF('February 2026'!C49:AD49,"H2"),COUNTIF('March 2026'!C49:AG49,"H2"),COUNTIF('April 2026'!C49:AF49,"H2"),COUNTIF('May 2026'!C49:AG49,"H2"),COUNTIF('June 2026'!C49:AF49,"H2"),COUNTIF('July 2026'!C49:AG49,"H2"),COUNTIF('August 2026'!C49:AG49,"H2"),COUNTIF('September 2026'!C49:AF49,"H2"),COUNTIF('October 2026'!C49:AG49,"H2"),COUNTIF('November 2026'!C49:AF49,"H2"),COUNTIF('December 2026'!C49:AG49,"H2"))</f>
        <v>0</v>
      </c>
      <c r="M47" s="9" t="n">
        <f aca="false">SUM(COUNTIF('January 2026'!C49:AG49,"Q"),COUNTIF('February 2026'!C49:AD49,"Q"),COUNTIF('March 2026'!C49:AG49,"Q"),COUNTIF('April 2026'!C49:AF49,"Q"),COUNTIF('May 2026'!C49:AG49,"Q"),COUNTIF('June 2026'!C49:AF49,"Q"),COUNTIF('July 2026'!C49:AG49,"Q"),COUNTIF('August 2026'!C49:AG49,"Q"),COUNTIF('September 2026'!C49:AF49,"Q"),COUNTIF('October 2026'!C49:AG49,"Q"),COUNTIF('November 2026'!C49:AF49,"Q"),COUNTIF('December 2026'!C49:AG49,"Q"))</f>
        <v>0</v>
      </c>
      <c r="N47" s="9" t="n">
        <f aca="false">SUM(COUNTIF('January 2026'!C49:AG49,"I"),COUNTIF('February 2026'!C49:AD49,"I"),COUNTIF('March 2026'!C49:AG49,"I"),COUNTIF('April 2026'!C49:AF49,"I"),COUNTIF('May 2026'!C49:AG49,"I"),COUNTIF('June 2026'!C49:AF49,"I"),COUNTIF('July 2026'!C49:AG49,"I"),COUNTIF('August 2026'!C49:AG49,"I"),COUNTIF('September 2026'!C49:AF49,"I"),COUNTIF('October 2026'!C49:AG49,"I"),COUNTIF('November 2026'!C49:AF49,"I"),COUNTIF('December 2026'!C49:AG49,"I"))</f>
        <v>0</v>
      </c>
      <c r="O47" s="9" t="n">
        <f aca="false">SUM(COUNTIF('January 2026'!C49:AG49,"S"),COUNTIF('February 2026'!C49:AD49,"S"),COUNTIF('March 2026'!C49:AG49,"S"),COUNTIF('April 2026'!C49:AF49,"S"),COUNTIF('May 2026'!C49:AG49,"S"),COUNTIF('June 2026'!C49:AF49,"S"),COUNTIF('July 2026'!C49:AG49,"S"),COUNTIF('August 2026'!C49:AG49,"S"),COUNTIF('September 2026'!C49:AF49,"S"),COUNTIF('October 2026'!C49:AG49,"S"),COUNTIF('November 2026'!C49:AF49,"S"),COUNTIF('December 2026'!C49:AG49,"S"))</f>
        <v>0</v>
      </c>
      <c r="P47" s="9" t="n">
        <f aca="false">SUM(COUNTIF('January 2026'!C49:AG49,"M"),COUNTIF('February 2026'!C49:AD49,"M"),COUNTIF('March 2026'!C49:AG49,"M"),COUNTIF('April 2026'!C49:AF49,"M"),COUNTIF('May 2026'!C49:AG49,"M"),COUNTIF('June 2026'!C49:AF49,"M"),COUNTIF('July 2026'!C49:AG49,"M"),COUNTIF('August 2026'!C49:AG49,"M"),COUNTIF('September 2026'!C49:AF49,"M"),COUNTIF('October 2026'!C49:AG49,"M"),COUNTIF('November 2026'!C49:AF49,"M"),COUNTIF('December 2026'!C49:AG49,"M"))</f>
        <v>0</v>
      </c>
      <c r="Q47" s="9" t="n">
        <f aca="false">SUM(COUNTIF('January 2026'!C49:AG49,"C"),COUNTIF('February 2026'!C49:AD49,"C"),COUNTIF('March 2026'!C49:AG49,"C"),COUNTIF('April 2026'!C49:AF49,"C"),COUNTIF('May 2026'!C49:AG49,"C"),COUNTIF('June 2026'!C49:AF49,"C"),COUNTIF('July 2026'!C49:AG49,"C"),COUNTIF('August 2026'!C49:AG49,"C"),COUNTIF('September 2026'!C49:AF49,"C"),COUNTIF('October 2026'!C49:AG49,"C"),COUNTIF('November 2026'!C49:AF49,"C"),COUNTIF('December 2026'!C49:AG49,"C"))</f>
        <v>0</v>
      </c>
      <c r="R47" s="9" t="n">
        <f aca="false">SUM(COUNTIF('January 2026'!C49:AG49,"V"),COUNTIF('February 2026'!C49:AD49,"V"),COUNTIF('March 2026'!C49:AG49,"V"),COUNTIF('April 2026'!C49:AF49,"V"),COUNTIF('May 2026'!C49:AG49,"V"),COUNTIF('June 2026'!C49:AF49,"V"),COUNTIF('July 2026'!C49:AG49,"V"),COUNTIF('August 2026'!C49:AG49,"V"),COUNTIF('September 2026'!C49:AF49,"V"),COUNTIF('October 2026'!C49:AG49,"V"),COUNTIF('November 2026'!C49:AF49,"V"),COUNTIF('December 2026'!C49:AG49,"V"))</f>
        <v>0</v>
      </c>
      <c r="S47" s="9" t="n">
        <f aca="false">SUM(COUNTIF('January 2026'!C49:AG49,"A"),COUNTIF('February 2026'!C49:AD49,"A"),COUNTIF('March 2026'!C49:AG49,"A"),COUNTIF('April 2026'!C49:AF49,"A"),COUNTIF('May 2026'!C49:AG49,"A"),COUNTIF('June 2026'!C49:AF49,"A"),COUNTIF('July 2026'!C49:AG49,"A"),COUNTIF('August 2026'!C49:AG49,"A"),COUNTIF('September 2026'!C49:AF49,"A"),COUNTIF('October 2026'!C49:AG49,"A"),COUNTIF('November 2026'!C49:AF49,"A"),COUNTIF('December 2026'!C49:AG49,"A"))</f>
        <v>0</v>
      </c>
    </row>
    <row r="48" customFormat="false" ht="19.5" hidden="false" customHeight="true" outlineLevel="0" collapsed="false">
      <c r="B48" s="8" t="n">
        <f aca="false">'January 2026'!B50</f>
        <v>0</v>
      </c>
      <c r="C48" s="9"/>
      <c r="D48" s="9"/>
      <c r="E48" s="9" t="n">
        <f aca="false">SUM(C48:D48)</f>
        <v>0</v>
      </c>
      <c r="G48" s="9" t="n">
        <f aca="false">SUM('January 2026'!AH50,'February 2026'!AE50,'March 2026'!AH50,'April 2026'!AG50,'May 2026'!AH50,'June 2026'!AG50,'July 2026'!AH50,'August 2026'!AH50,'September 2026'!AG50,'October 2026'!AH50,'November 2026'!AG50,'December 2026'!AH50)</f>
        <v>0</v>
      </c>
      <c r="H48" s="9" t="n">
        <f aca="false">E48-G48</f>
        <v>0</v>
      </c>
      <c r="J48" s="9" t="n">
        <f aca="false">SUM(COUNTIF('January 2026'!C50:AG50,"H"),COUNTIF('February 2026'!C50:AD50,"H"),COUNTIF('March 2026'!C50:AG50,"H"),COUNTIF('April 2026'!C50:AF50,"H"),COUNTIF('May 2026'!C50:AG50,"H"),COUNTIF('June 2026'!C50:AF50,"H"),COUNTIF('July 2026'!C50:AG50,"H"),COUNTIF('August 2026'!C50:AG50,"H"),COUNTIF('September 2026'!C50:AF50,"H"),COUNTIF('October 2026'!C50:AG50,"H"),COUNTIF('November 2026'!C50:AF50,"H"),COUNTIF('December 2026'!C50:AG50,"H"))</f>
        <v>0</v>
      </c>
      <c r="K48" s="9" t="n">
        <f aca="false">SUM(COUNTIF('January 2026'!C50:AG50,"H1"),COUNTIF('February 2026'!C50:AD50,"H1"),COUNTIF('March 2026'!C50:AG50,"H1"),COUNTIF('April 2026'!C50:AF50,"H1"),COUNTIF('May 2026'!C50:AG50,"H1"),COUNTIF('June 2026'!C50:AF50,"H1"),COUNTIF('July 2026'!C50:AG50,"H1"),COUNTIF('August 2026'!C50:AG50,"H1"),COUNTIF('September 2026'!C50:AF50,"H1"),COUNTIF('October 2026'!C50:AG50,"H1"),COUNTIF('November 2026'!C50:AF50,"H1"),COUNTIF('December 2026'!C50:AG50,"H1"))</f>
        <v>0</v>
      </c>
      <c r="L48" s="9" t="n">
        <f aca="false">SUM(COUNTIF('January 2026'!C50:AG50,"H2"),COUNTIF('February 2026'!C50:AD50,"H2"),COUNTIF('March 2026'!C50:AG50,"H2"),COUNTIF('April 2026'!C50:AF50,"H2"),COUNTIF('May 2026'!C50:AG50,"H2"),COUNTIF('June 2026'!C50:AF50,"H2"),COUNTIF('July 2026'!C50:AG50,"H2"),COUNTIF('August 2026'!C50:AG50,"H2"),COUNTIF('September 2026'!C50:AF50,"H2"),COUNTIF('October 2026'!C50:AG50,"H2"),COUNTIF('November 2026'!C50:AF50,"H2"),COUNTIF('December 2026'!C50:AG50,"H2"))</f>
        <v>0</v>
      </c>
      <c r="M48" s="9" t="n">
        <f aca="false">SUM(COUNTIF('January 2026'!C50:AG50,"Q"),COUNTIF('February 2026'!C50:AD50,"Q"),COUNTIF('March 2026'!C50:AG50,"Q"),COUNTIF('April 2026'!C50:AF50,"Q"),COUNTIF('May 2026'!C50:AG50,"Q"),COUNTIF('June 2026'!C50:AF50,"Q"),COUNTIF('July 2026'!C50:AG50,"Q"),COUNTIF('August 2026'!C50:AG50,"Q"),COUNTIF('September 2026'!C50:AF50,"Q"),COUNTIF('October 2026'!C50:AG50,"Q"),COUNTIF('November 2026'!C50:AF50,"Q"),COUNTIF('December 2026'!C50:AG50,"Q"))</f>
        <v>0</v>
      </c>
      <c r="N48" s="9" t="n">
        <f aca="false">SUM(COUNTIF('January 2026'!C50:AG50,"I"),COUNTIF('February 2026'!C50:AD50,"I"),COUNTIF('March 2026'!C50:AG50,"I"),COUNTIF('April 2026'!C50:AF50,"I"),COUNTIF('May 2026'!C50:AG50,"I"),COUNTIF('June 2026'!C50:AF50,"I"),COUNTIF('July 2026'!C50:AG50,"I"),COUNTIF('August 2026'!C50:AG50,"I"),COUNTIF('September 2026'!C50:AF50,"I"),COUNTIF('October 2026'!C50:AG50,"I"),COUNTIF('November 2026'!C50:AF50,"I"),COUNTIF('December 2026'!C50:AG50,"I"))</f>
        <v>0</v>
      </c>
      <c r="O48" s="9" t="n">
        <f aca="false">SUM(COUNTIF('January 2026'!C50:AG50,"S"),COUNTIF('February 2026'!C50:AD50,"S"),COUNTIF('March 2026'!C50:AG50,"S"),COUNTIF('April 2026'!C50:AF50,"S"),COUNTIF('May 2026'!C50:AG50,"S"),COUNTIF('June 2026'!C50:AF50,"S"),COUNTIF('July 2026'!C50:AG50,"S"),COUNTIF('August 2026'!C50:AG50,"S"),COUNTIF('September 2026'!C50:AF50,"S"),COUNTIF('October 2026'!C50:AG50,"S"),COUNTIF('November 2026'!C50:AF50,"S"),COUNTIF('December 2026'!C50:AG50,"S"))</f>
        <v>0</v>
      </c>
      <c r="P48" s="9" t="n">
        <f aca="false">SUM(COUNTIF('January 2026'!C50:AG50,"M"),COUNTIF('February 2026'!C50:AD50,"M"),COUNTIF('March 2026'!C50:AG50,"M"),COUNTIF('April 2026'!C50:AF50,"M"),COUNTIF('May 2026'!C50:AG50,"M"),COUNTIF('June 2026'!C50:AF50,"M"),COUNTIF('July 2026'!C50:AG50,"M"),COUNTIF('August 2026'!C50:AG50,"M"),COUNTIF('September 2026'!C50:AF50,"M"),COUNTIF('October 2026'!C50:AG50,"M"),COUNTIF('November 2026'!C50:AF50,"M"),COUNTIF('December 2026'!C50:AG50,"M"))</f>
        <v>0</v>
      </c>
      <c r="Q48" s="9" t="n">
        <f aca="false">SUM(COUNTIF('January 2026'!C50:AG50,"C"),COUNTIF('February 2026'!C50:AD50,"C"),COUNTIF('March 2026'!C50:AG50,"C"),COUNTIF('April 2026'!C50:AF50,"C"),COUNTIF('May 2026'!C50:AG50,"C"),COUNTIF('June 2026'!C50:AF50,"C"),COUNTIF('July 2026'!C50:AG50,"C"),COUNTIF('August 2026'!C50:AG50,"C"),COUNTIF('September 2026'!C50:AF50,"C"),COUNTIF('October 2026'!C50:AG50,"C"),COUNTIF('November 2026'!C50:AF50,"C"),COUNTIF('December 2026'!C50:AG50,"C"))</f>
        <v>0</v>
      </c>
      <c r="R48" s="9" t="n">
        <f aca="false">SUM(COUNTIF('January 2026'!C50:AG50,"V"),COUNTIF('February 2026'!C50:AD50,"V"),COUNTIF('March 2026'!C50:AG50,"V"),COUNTIF('April 2026'!C50:AF50,"V"),COUNTIF('May 2026'!C50:AG50,"V"),COUNTIF('June 2026'!C50:AF50,"V"),COUNTIF('July 2026'!C50:AG50,"V"),COUNTIF('August 2026'!C50:AG50,"V"),COUNTIF('September 2026'!C50:AF50,"V"),COUNTIF('October 2026'!C50:AG50,"V"),COUNTIF('November 2026'!C50:AF50,"V"),COUNTIF('December 2026'!C50:AG50,"V"))</f>
        <v>0</v>
      </c>
      <c r="S48" s="9" t="n">
        <f aca="false">SUM(COUNTIF('January 2026'!C50:AG50,"A"),COUNTIF('February 2026'!C50:AD50,"A"),COUNTIF('March 2026'!C50:AG50,"A"),COUNTIF('April 2026'!C50:AF50,"A"),COUNTIF('May 2026'!C50:AG50,"A"),COUNTIF('June 2026'!C50:AF50,"A"),COUNTIF('July 2026'!C50:AG50,"A"),COUNTIF('August 2026'!C50:AG50,"A"),COUNTIF('September 2026'!C50:AF50,"A"),COUNTIF('October 2026'!C50:AG50,"A"),COUNTIF('November 2026'!C50:AF50,"A"),COUNTIF('December 2026'!C50:AG50,"A"))</f>
        <v>0</v>
      </c>
    </row>
    <row r="49" customFormat="false" ht="19.5" hidden="false" customHeight="true" outlineLevel="0" collapsed="false">
      <c r="B49" s="8" t="n">
        <f aca="false">'January 2026'!B51</f>
        <v>0</v>
      </c>
      <c r="C49" s="9"/>
      <c r="D49" s="9"/>
      <c r="E49" s="9" t="n">
        <f aca="false">SUM(C49:D49)</f>
        <v>0</v>
      </c>
      <c r="G49" s="9" t="n">
        <f aca="false">SUM('January 2026'!AH51,'February 2026'!AE51,'March 2026'!AH51,'April 2026'!AG51,'May 2026'!AH51,'June 2026'!AG51,'July 2026'!AH51,'August 2026'!AH51,'September 2026'!AG51,'October 2026'!AH51,'November 2026'!AG51,'December 2026'!AH51)</f>
        <v>0</v>
      </c>
      <c r="H49" s="9" t="n">
        <f aca="false">E49-G49</f>
        <v>0</v>
      </c>
      <c r="J49" s="9" t="n">
        <f aca="false">SUM(COUNTIF('January 2026'!C51:AG51,"H"),COUNTIF('February 2026'!C51:AD51,"H"),COUNTIF('March 2026'!C51:AG51,"H"),COUNTIF('April 2026'!C51:AF51,"H"),COUNTIF('May 2026'!C51:AG51,"H"),COUNTIF('June 2026'!C51:AF51,"H"),COUNTIF('July 2026'!C51:AG51,"H"),COUNTIF('August 2026'!C51:AG51,"H"),COUNTIF('September 2026'!C51:AF51,"H"),COUNTIF('October 2026'!C51:AG51,"H"),COUNTIF('November 2026'!C51:AF51,"H"),COUNTIF('December 2026'!C51:AG51,"H"))</f>
        <v>0</v>
      </c>
      <c r="K49" s="9" t="n">
        <f aca="false">SUM(COUNTIF('January 2026'!C51:AG51,"H1"),COUNTIF('February 2026'!C51:AD51,"H1"),COUNTIF('March 2026'!C51:AG51,"H1"),COUNTIF('April 2026'!C51:AF51,"H1"),COUNTIF('May 2026'!C51:AG51,"H1"),COUNTIF('June 2026'!C51:AF51,"H1"),COUNTIF('July 2026'!C51:AG51,"H1"),COUNTIF('August 2026'!C51:AG51,"H1"),COUNTIF('September 2026'!C51:AF51,"H1"),COUNTIF('October 2026'!C51:AG51,"H1"),COUNTIF('November 2026'!C51:AF51,"H1"),COUNTIF('December 2026'!C51:AG51,"H1"))</f>
        <v>0</v>
      </c>
      <c r="L49" s="9" t="n">
        <f aca="false">SUM(COUNTIF('January 2026'!C51:AG51,"H2"),COUNTIF('February 2026'!C51:AD51,"H2"),COUNTIF('March 2026'!C51:AG51,"H2"),COUNTIF('April 2026'!C51:AF51,"H2"),COUNTIF('May 2026'!C51:AG51,"H2"),COUNTIF('June 2026'!C51:AF51,"H2"),COUNTIF('July 2026'!C51:AG51,"H2"),COUNTIF('August 2026'!C51:AG51,"H2"),COUNTIF('September 2026'!C51:AF51,"H2"),COUNTIF('October 2026'!C51:AG51,"H2"),COUNTIF('November 2026'!C51:AF51,"H2"),COUNTIF('December 2026'!C51:AG51,"H2"))</f>
        <v>0</v>
      </c>
      <c r="M49" s="9" t="n">
        <f aca="false">SUM(COUNTIF('January 2026'!C51:AG51,"Q"),COUNTIF('February 2026'!C51:AD51,"Q"),COUNTIF('March 2026'!C51:AG51,"Q"),COUNTIF('April 2026'!C51:AF51,"Q"),COUNTIF('May 2026'!C51:AG51,"Q"),COUNTIF('June 2026'!C51:AF51,"Q"),COUNTIF('July 2026'!C51:AG51,"Q"),COUNTIF('August 2026'!C51:AG51,"Q"),COUNTIF('September 2026'!C51:AF51,"Q"),COUNTIF('October 2026'!C51:AG51,"Q"),COUNTIF('November 2026'!C51:AF51,"Q"),COUNTIF('December 2026'!C51:AG51,"Q"))</f>
        <v>0</v>
      </c>
      <c r="N49" s="9" t="n">
        <f aca="false">SUM(COUNTIF('January 2026'!C51:AG51,"I"),COUNTIF('February 2026'!C51:AD51,"I"),COUNTIF('March 2026'!C51:AG51,"I"),COUNTIF('April 2026'!C51:AF51,"I"),COUNTIF('May 2026'!C51:AG51,"I"),COUNTIF('June 2026'!C51:AF51,"I"),COUNTIF('July 2026'!C51:AG51,"I"),COUNTIF('August 2026'!C51:AG51,"I"),COUNTIF('September 2026'!C51:AF51,"I"),COUNTIF('October 2026'!C51:AG51,"I"),COUNTIF('November 2026'!C51:AF51,"I"),COUNTIF('December 2026'!C51:AG51,"I"))</f>
        <v>0</v>
      </c>
      <c r="O49" s="9" t="n">
        <f aca="false">SUM(COUNTIF('January 2026'!C51:AG51,"S"),COUNTIF('February 2026'!C51:AD51,"S"),COUNTIF('March 2026'!C51:AG51,"S"),COUNTIF('April 2026'!C51:AF51,"S"),COUNTIF('May 2026'!C51:AG51,"S"),COUNTIF('June 2026'!C51:AF51,"S"),COUNTIF('July 2026'!C51:AG51,"S"),COUNTIF('August 2026'!C51:AG51,"S"),COUNTIF('September 2026'!C51:AF51,"S"),COUNTIF('October 2026'!C51:AG51,"S"),COUNTIF('November 2026'!C51:AF51,"S"),COUNTIF('December 2026'!C51:AG51,"S"))</f>
        <v>0</v>
      </c>
      <c r="P49" s="9" t="n">
        <f aca="false">SUM(COUNTIF('January 2026'!C51:AG51,"M"),COUNTIF('February 2026'!C51:AD51,"M"),COUNTIF('March 2026'!C51:AG51,"M"),COUNTIF('April 2026'!C51:AF51,"M"),COUNTIF('May 2026'!C51:AG51,"M"),COUNTIF('June 2026'!C51:AF51,"M"),COUNTIF('July 2026'!C51:AG51,"M"),COUNTIF('August 2026'!C51:AG51,"M"),COUNTIF('September 2026'!C51:AF51,"M"),COUNTIF('October 2026'!C51:AG51,"M"),COUNTIF('November 2026'!C51:AF51,"M"),COUNTIF('December 2026'!C51:AG51,"M"))</f>
        <v>0</v>
      </c>
      <c r="Q49" s="9" t="n">
        <f aca="false">SUM(COUNTIF('January 2026'!C51:AG51,"C"),COUNTIF('February 2026'!C51:AD51,"C"),COUNTIF('March 2026'!C51:AG51,"C"),COUNTIF('April 2026'!C51:AF51,"C"),COUNTIF('May 2026'!C51:AG51,"C"),COUNTIF('June 2026'!C51:AF51,"C"),COUNTIF('July 2026'!C51:AG51,"C"),COUNTIF('August 2026'!C51:AG51,"C"),COUNTIF('September 2026'!C51:AF51,"C"),COUNTIF('October 2026'!C51:AG51,"C"),COUNTIF('November 2026'!C51:AF51,"C"),COUNTIF('December 2026'!C51:AG51,"C"))</f>
        <v>0</v>
      </c>
      <c r="R49" s="9" t="n">
        <f aca="false">SUM(COUNTIF('January 2026'!C51:AG51,"V"),COUNTIF('February 2026'!C51:AD51,"V"),COUNTIF('March 2026'!C51:AG51,"V"),COUNTIF('April 2026'!C51:AF51,"V"),COUNTIF('May 2026'!C51:AG51,"V"),COUNTIF('June 2026'!C51:AF51,"V"),COUNTIF('July 2026'!C51:AG51,"V"),COUNTIF('August 2026'!C51:AG51,"V"),COUNTIF('September 2026'!C51:AF51,"V"),COUNTIF('October 2026'!C51:AG51,"V"),COUNTIF('November 2026'!C51:AF51,"V"),COUNTIF('December 2026'!C51:AG51,"V"))</f>
        <v>0</v>
      </c>
      <c r="S49" s="9" t="n">
        <f aca="false">SUM(COUNTIF('January 2026'!C51:AG51,"A"),COUNTIF('February 2026'!C51:AD51,"A"),COUNTIF('March 2026'!C51:AG51,"A"),COUNTIF('April 2026'!C51:AF51,"A"),COUNTIF('May 2026'!C51:AG51,"A"),COUNTIF('June 2026'!C51:AF51,"A"),COUNTIF('July 2026'!C51:AG51,"A"),COUNTIF('August 2026'!C51:AG51,"A"),COUNTIF('September 2026'!C51:AF51,"A"),COUNTIF('October 2026'!C51:AG51,"A"),COUNTIF('November 2026'!C51:AF51,"A"),COUNTIF('December 2026'!C51:AG51,"A"))</f>
        <v>0</v>
      </c>
    </row>
    <row r="50" customFormat="false" ht="19.5" hidden="false" customHeight="true" outlineLevel="0" collapsed="false">
      <c r="B50" s="8" t="n">
        <f aca="false">'January 2026'!B52</f>
        <v>0</v>
      </c>
      <c r="C50" s="9"/>
      <c r="D50" s="9"/>
      <c r="E50" s="9" t="n">
        <f aca="false">SUM(C50:D50)</f>
        <v>0</v>
      </c>
      <c r="G50" s="9" t="n">
        <f aca="false">SUM('January 2026'!AH52,'February 2026'!AE52,'March 2026'!AH52,'April 2026'!AG52,'May 2026'!AH52,'June 2026'!AG52,'July 2026'!AH52,'August 2026'!AH52,'September 2026'!AG52,'October 2026'!AH52,'November 2026'!AG52,'December 2026'!AH52)</f>
        <v>0</v>
      </c>
      <c r="H50" s="9" t="n">
        <f aca="false">E50-G50</f>
        <v>0</v>
      </c>
      <c r="J50" s="9" t="n">
        <f aca="false">SUM(COUNTIF('January 2026'!C52:AG52,"H"),COUNTIF('February 2026'!C52:AD52,"H"),COUNTIF('March 2026'!C52:AG52,"H"),COUNTIF('April 2026'!C52:AF52,"H"),COUNTIF('May 2026'!C52:AG52,"H"),COUNTIF('June 2026'!C52:AF52,"H"),COUNTIF('July 2026'!C52:AG52,"H"),COUNTIF('August 2026'!C52:AG52,"H"),COUNTIF('September 2026'!C52:AF52,"H"),COUNTIF('October 2026'!C52:AG52,"H"),COUNTIF('November 2026'!C52:AF52,"H"),COUNTIF('December 2026'!C52:AG52,"H"))</f>
        <v>0</v>
      </c>
      <c r="K50" s="9" t="n">
        <f aca="false">SUM(COUNTIF('January 2026'!C52:AG52,"H1"),COUNTIF('February 2026'!C52:AD52,"H1"),COUNTIF('March 2026'!C52:AG52,"H1"),COUNTIF('April 2026'!C52:AF52,"H1"),COUNTIF('May 2026'!C52:AG52,"H1"),COUNTIF('June 2026'!C52:AF52,"H1"),COUNTIF('July 2026'!C52:AG52,"H1"),COUNTIF('August 2026'!C52:AG52,"H1"),COUNTIF('September 2026'!C52:AF52,"H1"),COUNTIF('October 2026'!C52:AG52,"H1"),COUNTIF('November 2026'!C52:AF52,"H1"),COUNTIF('December 2026'!C52:AG52,"H1"))</f>
        <v>0</v>
      </c>
      <c r="L50" s="9" t="n">
        <f aca="false">SUM(COUNTIF('January 2026'!C52:AG52,"H2"),COUNTIF('February 2026'!C52:AD52,"H2"),COUNTIF('March 2026'!C52:AG52,"H2"),COUNTIF('April 2026'!C52:AF52,"H2"),COUNTIF('May 2026'!C52:AG52,"H2"),COUNTIF('June 2026'!C52:AF52,"H2"),COUNTIF('July 2026'!C52:AG52,"H2"),COUNTIF('August 2026'!C52:AG52,"H2"),COUNTIF('September 2026'!C52:AF52,"H2"),COUNTIF('October 2026'!C52:AG52,"H2"),COUNTIF('November 2026'!C52:AF52,"H2"),COUNTIF('December 2026'!C52:AG52,"H2"))</f>
        <v>0</v>
      </c>
      <c r="M50" s="9" t="n">
        <f aca="false">SUM(COUNTIF('January 2026'!C52:AG52,"Q"),COUNTIF('February 2026'!C52:AD52,"Q"),COUNTIF('March 2026'!C52:AG52,"Q"),COUNTIF('April 2026'!C52:AF52,"Q"),COUNTIF('May 2026'!C52:AG52,"Q"),COUNTIF('June 2026'!C52:AF52,"Q"),COUNTIF('July 2026'!C52:AG52,"Q"),COUNTIF('August 2026'!C52:AG52,"Q"),COUNTIF('September 2026'!C52:AF52,"Q"),COUNTIF('October 2026'!C52:AG52,"Q"),COUNTIF('November 2026'!C52:AF52,"Q"),COUNTIF('December 2026'!C52:AG52,"Q"))</f>
        <v>0</v>
      </c>
      <c r="N50" s="9" t="n">
        <f aca="false">SUM(COUNTIF('January 2026'!C52:AG52,"I"),COUNTIF('February 2026'!C52:AD52,"I"),COUNTIF('March 2026'!C52:AG52,"I"),COUNTIF('April 2026'!C52:AF52,"I"),COUNTIF('May 2026'!C52:AG52,"I"),COUNTIF('June 2026'!C52:AF52,"I"),COUNTIF('July 2026'!C52:AG52,"I"),COUNTIF('August 2026'!C52:AG52,"I"),COUNTIF('September 2026'!C52:AF52,"I"),COUNTIF('October 2026'!C52:AG52,"I"),COUNTIF('November 2026'!C52:AF52,"I"),COUNTIF('December 2026'!C52:AG52,"I"))</f>
        <v>0</v>
      </c>
      <c r="O50" s="9" t="n">
        <f aca="false">SUM(COUNTIF('January 2026'!C52:AG52,"S"),COUNTIF('February 2026'!C52:AD52,"S"),COUNTIF('March 2026'!C52:AG52,"S"),COUNTIF('April 2026'!C52:AF52,"S"),COUNTIF('May 2026'!C52:AG52,"S"),COUNTIF('June 2026'!C52:AF52,"S"),COUNTIF('July 2026'!C52:AG52,"S"),COUNTIF('August 2026'!C52:AG52,"S"),COUNTIF('September 2026'!C52:AF52,"S"),COUNTIF('October 2026'!C52:AG52,"S"),COUNTIF('November 2026'!C52:AF52,"S"),COUNTIF('December 2026'!C52:AG52,"S"))</f>
        <v>0</v>
      </c>
      <c r="P50" s="9" t="n">
        <f aca="false">SUM(COUNTIF('January 2026'!C52:AG52,"M"),COUNTIF('February 2026'!C52:AD52,"M"),COUNTIF('March 2026'!C52:AG52,"M"),COUNTIF('April 2026'!C52:AF52,"M"),COUNTIF('May 2026'!C52:AG52,"M"),COUNTIF('June 2026'!C52:AF52,"M"),COUNTIF('July 2026'!C52:AG52,"M"),COUNTIF('August 2026'!C52:AG52,"M"),COUNTIF('September 2026'!C52:AF52,"M"),COUNTIF('October 2026'!C52:AG52,"M"),COUNTIF('November 2026'!C52:AF52,"M"),COUNTIF('December 2026'!C52:AG52,"M"))</f>
        <v>0</v>
      </c>
      <c r="Q50" s="9" t="n">
        <f aca="false">SUM(COUNTIF('January 2026'!C52:AG52,"C"),COUNTIF('February 2026'!C52:AD52,"C"),COUNTIF('March 2026'!C52:AG52,"C"),COUNTIF('April 2026'!C52:AF52,"C"),COUNTIF('May 2026'!C52:AG52,"C"),COUNTIF('June 2026'!C52:AF52,"C"),COUNTIF('July 2026'!C52:AG52,"C"),COUNTIF('August 2026'!C52:AG52,"C"),COUNTIF('September 2026'!C52:AF52,"C"),COUNTIF('October 2026'!C52:AG52,"C"),COUNTIF('November 2026'!C52:AF52,"C"),COUNTIF('December 2026'!C52:AG52,"C"))</f>
        <v>0</v>
      </c>
      <c r="R50" s="9" t="n">
        <f aca="false">SUM(COUNTIF('January 2026'!C52:AG52,"V"),COUNTIF('February 2026'!C52:AD52,"V"),COUNTIF('March 2026'!C52:AG52,"V"),COUNTIF('April 2026'!C52:AF52,"V"),COUNTIF('May 2026'!C52:AG52,"V"),COUNTIF('June 2026'!C52:AF52,"V"),COUNTIF('July 2026'!C52:AG52,"V"),COUNTIF('August 2026'!C52:AG52,"V"),COUNTIF('September 2026'!C52:AF52,"V"),COUNTIF('October 2026'!C52:AG52,"V"),COUNTIF('November 2026'!C52:AF52,"V"),COUNTIF('December 2026'!C52:AG52,"V"))</f>
        <v>0</v>
      </c>
      <c r="S50" s="9" t="n">
        <f aca="false">SUM(COUNTIF('January 2026'!C52:AG52,"A"),COUNTIF('February 2026'!C52:AD52,"A"),COUNTIF('March 2026'!C52:AG52,"A"),COUNTIF('April 2026'!C52:AF52,"A"),COUNTIF('May 2026'!C52:AG52,"A"),COUNTIF('June 2026'!C52:AF52,"A"),COUNTIF('July 2026'!C52:AG52,"A"),COUNTIF('August 2026'!C52:AG52,"A"),COUNTIF('September 2026'!C52:AF52,"A"),COUNTIF('October 2026'!C52:AG52,"A"),COUNTIF('November 2026'!C52:AF52,"A"),COUNTIF('December 2026'!C52:AG52,"A"))</f>
        <v>0</v>
      </c>
    </row>
    <row r="51" customFormat="false" ht="19.5" hidden="false" customHeight="true" outlineLevel="0" collapsed="false">
      <c r="B51" s="8" t="n">
        <f aca="false">'January 2026'!B53</f>
        <v>0</v>
      </c>
      <c r="C51" s="9"/>
      <c r="D51" s="9"/>
      <c r="E51" s="9" t="n">
        <f aca="false">SUM(C51:D51)</f>
        <v>0</v>
      </c>
      <c r="G51" s="9" t="n">
        <f aca="false">SUM('January 2026'!AH53,'February 2026'!AE53,'March 2026'!AH53,'April 2026'!AG53,'May 2026'!AH53,'June 2026'!AG53,'July 2026'!AH53,'August 2026'!AH53,'September 2026'!AG53,'October 2026'!AH53,'November 2026'!AG53,'December 2026'!AH53)</f>
        <v>0</v>
      </c>
      <c r="H51" s="9" t="n">
        <f aca="false">E51-G51</f>
        <v>0</v>
      </c>
      <c r="J51" s="9" t="n">
        <f aca="false">SUM(COUNTIF('January 2026'!C53:AG53,"H"),COUNTIF('February 2026'!C53:AD53,"H"),COUNTIF('March 2026'!C53:AG53,"H"),COUNTIF('April 2026'!C53:AF53,"H"),COUNTIF('May 2026'!C53:AG53,"H"),COUNTIF('June 2026'!C53:AF53,"H"),COUNTIF('July 2026'!C53:AG53,"H"),COUNTIF('August 2026'!C53:AG53,"H"),COUNTIF('September 2026'!C53:AF53,"H"),COUNTIF('October 2026'!C53:AG53,"H"),COUNTIF('November 2026'!C53:AF53,"H"),COUNTIF('December 2026'!C53:AG53,"H"))</f>
        <v>0</v>
      </c>
      <c r="K51" s="9" t="n">
        <f aca="false">SUM(COUNTIF('January 2026'!C53:AG53,"H1"),COUNTIF('February 2026'!C53:AD53,"H1"),COUNTIF('March 2026'!C53:AG53,"H1"),COUNTIF('April 2026'!C53:AF53,"H1"),COUNTIF('May 2026'!C53:AG53,"H1"),COUNTIF('June 2026'!C53:AF53,"H1"),COUNTIF('July 2026'!C53:AG53,"H1"),COUNTIF('August 2026'!C53:AG53,"H1"),COUNTIF('September 2026'!C53:AF53,"H1"),COUNTIF('October 2026'!C53:AG53,"H1"),COUNTIF('November 2026'!C53:AF53,"H1"),COUNTIF('December 2026'!C53:AG53,"H1"))</f>
        <v>0</v>
      </c>
      <c r="L51" s="9" t="n">
        <f aca="false">SUM(COUNTIF('January 2026'!C53:AG53,"H2"),COUNTIF('February 2026'!C53:AD53,"H2"),COUNTIF('March 2026'!C53:AG53,"H2"),COUNTIF('April 2026'!C53:AF53,"H2"),COUNTIF('May 2026'!C53:AG53,"H2"),COUNTIF('June 2026'!C53:AF53,"H2"),COUNTIF('July 2026'!C53:AG53,"H2"),COUNTIF('August 2026'!C53:AG53,"H2"),COUNTIF('September 2026'!C53:AF53,"H2"),COUNTIF('October 2026'!C53:AG53,"H2"),COUNTIF('November 2026'!C53:AF53,"H2"),COUNTIF('December 2026'!C53:AG53,"H2"))</f>
        <v>0</v>
      </c>
      <c r="M51" s="9" t="n">
        <f aca="false">SUM(COUNTIF('January 2026'!C53:AG53,"Q"),COUNTIF('February 2026'!C53:AD53,"Q"),COUNTIF('March 2026'!C53:AG53,"Q"),COUNTIF('April 2026'!C53:AF53,"Q"),COUNTIF('May 2026'!C53:AG53,"Q"),COUNTIF('June 2026'!C53:AF53,"Q"),COUNTIF('July 2026'!C53:AG53,"Q"),COUNTIF('August 2026'!C53:AG53,"Q"),COUNTIF('September 2026'!C53:AF53,"Q"),COUNTIF('October 2026'!C53:AG53,"Q"),COUNTIF('November 2026'!C53:AF53,"Q"),COUNTIF('December 2026'!C53:AG53,"Q"))</f>
        <v>0</v>
      </c>
      <c r="N51" s="9" t="n">
        <f aca="false">SUM(COUNTIF('January 2026'!C53:AG53,"I"),COUNTIF('February 2026'!C53:AD53,"I"),COUNTIF('March 2026'!C53:AG53,"I"),COUNTIF('April 2026'!C53:AF53,"I"),COUNTIF('May 2026'!C53:AG53,"I"),COUNTIF('June 2026'!C53:AF53,"I"),COUNTIF('July 2026'!C53:AG53,"I"),COUNTIF('August 2026'!C53:AG53,"I"),COUNTIF('September 2026'!C53:AF53,"I"),COUNTIF('October 2026'!C53:AG53,"I"),COUNTIF('November 2026'!C53:AF53,"I"),COUNTIF('December 2026'!C53:AG53,"I"))</f>
        <v>0</v>
      </c>
      <c r="O51" s="9" t="n">
        <f aca="false">SUM(COUNTIF('January 2026'!C53:AG53,"S"),COUNTIF('February 2026'!C53:AD53,"S"),COUNTIF('March 2026'!C53:AG53,"S"),COUNTIF('April 2026'!C53:AF53,"S"),COUNTIF('May 2026'!C53:AG53,"S"),COUNTIF('June 2026'!C53:AF53,"S"),COUNTIF('July 2026'!C53:AG53,"S"),COUNTIF('August 2026'!C53:AG53,"S"),COUNTIF('September 2026'!C53:AF53,"S"),COUNTIF('October 2026'!C53:AG53,"S"),COUNTIF('November 2026'!C53:AF53,"S"),COUNTIF('December 2026'!C53:AG53,"S"))</f>
        <v>0</v>
      </c>
      <c r="P51" s="9" t="n">
        <f aca="false">SUM(COUNTIF('January 2026'!C53:AG53,"M"),COUNTIF('February 2026'!C53:AD53,"M"),COUNTIF('March 2026'!C53:AG53,"M"),COUNTIF('April 2026'!C53:AF53,"M"),COUNTIF('May 2026'!C53:AG53,"M"),COUNTIF('June 2026'!C53:AF53,"M"),COUNTIF('July 2026'!C53:AG53,"M"),COUNTIF('August 2026'!C53:AG53,"M"),COUNTIF('September 2026'!C53:AF53,"M"),COUNTIF('October 2026'!C53:AG53,"M"),COUNTIF('November 2026'!C53:AF53,"M"),COUNTIF('December 2026'!C53:AG53,"M"))</f>
        <v>0</v>
      </c>
      <c r="Q51" s="9" t="n">
        <f aca="false">SUM(COUNTIF('January 2026'!C53:AG53,"C"),COUNTIF('February 2026'!C53:AD53,"C"),COUNTIF('March 2026'!C53:AG53,"C"),COUNTIF('April 2026'!C53:AF53,"C"),COUNTIF('May 2026'!C53:AG53,"C"),COUNTIF('June 2026'!C53:AF53,"C"),COUNTIF('July 2026'!C53:AG53,"C"),COUNTIF('August 2026'!C53:AG53,"C"),COUNTIF('September 2026'!C53:AF53,"C"),COUNTIF('October 2026'!C53:AG53,"C"),COUNTIF('November 2026'!C53:AF53,"C"),COUNTIF('December 2026'!C53:AG53,"C"))</f>
        <v>0</v>
      </c>
      <c r="R51" s="9" t="n">
        <f aca="false">SUM(COUNTIF('January 2026'!C53:AG53,"V"),COUNTIF('February 2026'!C53:AD53,"V"),COUNTIF('March 2026'!C53:AG53,"V"),COUNTIF('April 2026'!C53:AF53,"V"),COUNTIF('May 2026'!C53:AG53,"V"),COUNTIF('June 2026'!C53:AF53,"V"),COUNTIF('July 2026'!C53:AG53,"V"),COUNTIF('August 2026'!C53:AG53,"V"),COUNTIF('September 2026'!C53:AF53,"V"),COUNTIF('October 2026'!C53:AG53,"V"),COUNTIF('November 2026'!C53:AF53,"V"),COUNTIF('December 2026'!C53:AG53,"V"))</f>
        <v>0</v>
      </c>
      <c r="S51" s="9" t="n">
        <f aca="false">SUM(COUNTIF('January 2026'!C53:AG53,"A"),COUNTIF('February 2026'!C53:AD53,"A"),COUNTIF('March 2026'!C53:AG53,"A"),COUNTIF('April 2026'!C53:AF53,"A"),COUNTIF('May 2026'!C53:AG53,"A"),COUNTIF('June 2026'!C53:AF53,"A"),COUNTIF('July 2026'!C53:AG53,"A"),COUNTIF('August 2026'!C53:AG53,"A"),COUNTIF('September 2026'!C53:AF53,"A"),COUNTIF('October 2026'!C53:AG53,"A"),COUNTIF('November 2026'!C53:AF53,"A"),COUNTIF('December 2026'!C53:AG53,"A"))</f>
        <v>0</v>
      </c>
    </row>
    <row r="52" customFormat="false" ht="19.5" hidden="false" customHeight="true" outlineLevel="0" collapsed="false">
      <c r="B52" s="8" t="n">
        <f aca="false">'January 2026'!B54</f>
        <v>0</v>
      </c>
      <c r="C52" s="9"/>
      <c r="D52" s="9"/>
      <c r="E52" s="9" t="n">
        <f aca="false">SUM(C52:D52)</f>
        <v>0</v>
      </c>
      <c r="G52" s="9" t="n">
        <f aca="false">SUM('January 2026'!AH54,'February 2026'!AE54,'March 2026'!AH54,'April 2026'!AG54,'May 2026'!AH54,'June 2026'!AG54,'July 2026'!AH54,'August 2026'!AH54,'September 2026'!AG54,'October 2026'!AH54,'November 2026'!AG54,'December 2026'!AH54)</f>
        <v>0</v>
      </c>
      <c r="H52" s="9" t="n">
        <f aca="false">E52-G52</f>
        <v>0</v>
      </c>
      <c r="J52" s="9" t="n">
        <f aca="false">SUM(COUNTIF('January 2026'!C54:AG54,"H"),COUNTIF('February 2026'!C54:AD54,"H"),COUNTIF('March 2026'!C54:AG54,"H"),COUNTIF('April 2026'!C54:AF54,"H"),COUNTIF('May 2026'!C54:AG54,"H"),COUNTIF('June 2026'!C54:AF54,"H"),COUNTIF('July 2026'!C54:AG54,"H"),COUNTIF('August 2026'!C54:AG54,"H"),COUNTIF('September 2026'!C54:AF54,"H"),COUNTIF('October 2026'!C54:AG54,"H"),COUNTIF('November 2026'!C54:AF54,"H"),COUNTIF('December 2026'!C54:AG54,"H"))</f>
        <v>0</v>
      </c>
      <c r="K52" s="9" t="n">
        <f aca="false">SUM(COUNTIF('January 2026'!C54:AG54,"H1"),COUNTIF('February 2026'!C54:AD54,"H1"),COUNTIF('March 2026'!C54:AG54,"H1"),COUNTIF('April 2026'!C54:AF54,"H1"),COUNTIF('May 2026'!C54:AG54,"H1"),COUNTIF('June 2026'!C54:AF54,"H1"),COUNTIF('July 2026'!C54:AG54,"H1"),COUNTIF('August 2026'!C54:AG54,"H1"),COUNTIF('September 2026'!C54:AF54,"H1"),COUNTIF('October 2026'!C54:AG54,"H1"),COUNTIF('November 2026'!C54:AF54,"H1"),COUNTIF('December 2026'!C54:AG54,"H1"))</f>
        <v>0</v>
      </c>
      <c r="L52" s="9" t="n">
        <f aca="false">SUM(COUNTIF('January 2026'!C54:AG54,"H2"),COUNTIF('February 2026'!C54:AD54,"H2"),COUNTIF('March 2026'!C54:AG54,"H2"),COUNTIF('April 2026'!C54:AF54,"H2"),COUNTIF('May 2026'!C54:AG54,"H2"),COUNTIF('June 2026'!C54:AF54,"H2"),COUNTIF('July 2026'!C54:AG54,"H2"),COUNTIF('August 2026'!C54:AG54,"H2"),COUNTIF('September 2026'!C54:AF54,"H2"),COUNTIF('October 2026'!C54:AG54,"H2"),COUNTIF('November 2026'!C54:AF54,"H2"),COUNTIF('December 2026'!C54:AG54,"H2"))</f>
        <v>0</v>
      </c>
      <c r="M52" s="9" t="n">
        <f aca="false">SUM(COUNTIF('January 2026'!C54:AG54,"Q"),COUNTIF('February 2026'!C54:AD54,"Q"),COUNTIF('March 2026'!C54:AG54,"Q"),COUNTIF('April 2026'!C54:AF54,"Q"),COUNTIF('May 2026'!C54:AG54,"Q"),COUNTIF('June 2026'!C54:AF54,"Q"),COUNTIF('July 2026'!C54:AG54,"Q"),COUNTIF('August 2026'!C54:AG54,"Q"),COUNTIF('September 2026'!C54:AF54,"Q"),COUNTIF('October 2026'!C54:AG54,"Q"),COUNTIF('November 2026'!C54:AF54,"Q"),COUNTIF('December 2026'!C54:AG54,"Q"))</f>
        <v>0</v>
      </c>
      <c r="N52" s="9" t="n">
        <f aca="false">SUM(COUNTIF('January 2026'!C54:AG54,"I"),COUNTIF('February 2026'!C54:AD54,"I"),COUNTIF('March 2026'!C54:AG54,"I"),COUNTIF('April 2026'!C54:AF54,"I"),COUNTIF('May 2026'!C54:AG54,"I"),COUNTIF('June 2026'!C54:AF54,"I"),COUNTIF('July 2026'!C54:AG54,"I"),COUNTIF('August 2026'!C54:AG54,"I"),COUNTIF('September 2026'!C54:AF54,"I"),COUNTIF('October 2026'!C54:AG54,"I"),COUNTIF('November 2026'!C54:AF54,"I"),COUNTIF('December 2026'!C54:AG54,"I"))</f>
        <v>0</v>
      </c>
      <c r="O52" s="9" t="n">
        <f aca="false">SUM(COUNTIF('January 2026'!C54:AG54,"S"),COUNTIF('February 2026'!C54:AD54,"S"),COUNTIF('March 2026'!C54:AG54,"S"),COUNTIF('April 2026'!C54:AF54,"S"),COUNTIF('May 2026'!C54:AG54,"S"),COUNTIF('June 2026'!C54:AF54,"S"),COUNTIF('July 2026'!C54:AG54,"S"),COUNTIF('August 2026'!C54:AG54,"S"),COUNTIF('September 2026'!C54:AF54,"S"),COUNTIF('October 2026'!C54:AG54,"S"),COUNTIF('November 2026'!C54:AF54,"S"),COUNTIF('December 2026'!C54:AG54,"S"))</f>
        <v>0</v>
      </c>
      <c r="P52" s="9" t="n">
        <f aca="false">SUM(COUNTIF('January 2026'!C54:AG54,"M"),COUNTIF('February 2026'!C54:AD54,"M"),COUNTIF('March 2026'!C54:AG54,"M"),COUNTIF('April 2026'!C54:AF54,"M"),COUNTIF('May 2026'!C54:AG54,"M"),COUNTIF('June 2026'!C54:AF54,"M"),COUNTIF('July 2026'!C54:AG54,"M"),COUNTIF('August 2026'!C54:AG54,"M"),COUNTIF('September 2026'!C54:AF54,"M"),COUNTIF('October 2026'!C54:AG54,"M"),COUNTIF('November 2026'!C54:AF54,"M"),COUNTIF('December 2026'!C54:AG54,"M"))</f>
        <v>0</v>
      </c>
      <c r="Q52" s="9" t="n">
        <f aca="false">SUM(COUNTIF('January 2026'!C54:AG54,"C"),COUNTIF('February 2026'!C54:AD54,"C"),COUNTIF('March 2026'!C54:AG54,"C"),COUNTIF('April 2026'!C54:AF54,"C"),COUNTIF('May 2026'!C54:AG54,"C"),COUNTIF('June 2026'!C54:AF54,"C"),COUNTIF('July 2026'!C54:AG54,"C"),COUNTIF('August 2026'!C54:AG54,"C"),COUNTIF('September 2026'!C54:AF54,"C"),COUNTIF('October 2026'!C54:AG54,"C"),COUNTIF('November 2026'!C54:AF54,"C"),COUNTIF('December 2026'!C54:AG54,"C"))</f>
        <v>0</v>
      </c>
      <c r="R52" s="9" t="n">
        <f aca="false">SUM(COUNTIF('January 2026'!C54:AG54,"V"),COUNTIF('February 2026'!C54:AD54,"V"),COUNTIF('March 2026'!C54:AG54,"V"),COUNTIF('April 2026'!C54:AF54,"V"),COUNTIF('May 2026'!C54:AG54,"V"),COUNTIF('June 2026'!C54:AF54,"V"),COUNTIF('July 2026'!C54:AG54,"V"),COUNTIF('August 2026'!C54:AG54,"V"),COUNTIF('September 2026'!C54:AF54,"V"),COUNTIF('October 2026'!C54:AG54,"V"),COUNTIF('November 2026'!C54:AF54,"V"),COUNTIF('December 2026'!C54:AG54,"V"))</f>
        <v>0</v>
      </c>
      <c r="S52" s="9" t="n">
        <f aca="false">SUM(COUNTIF('January 2026'!C54:AG54,"A"),COUNTIF('February 2026'!C54:AD54,"A"),COUNTIF('March 2026'!C54:AG54,"A"),COUNTIF('April 2026'!C54:AF54,"A"),COUNTIF('May 2026'!C54:AG54,"A"),COUNTIF('June 2026'!C54:AF54,"A"),COUNTIF('July 2026'!C54:AG54,"A"),COUNTIF('August 2026'!C54:AG54,"A"),COUNTIF('September 2026'!C54:AF54,"A"),COUNTIF('October 2026'!C54:AG54,"A"),COUNTIF('November 2026'!C54:AF54,"A"),COUNTIF('December 2026'!C54:AG54,"A"))</f>
        <v>0</v>
      </c>
    </row>
    <row r="53" customFormat="false" ht="19.5" hidden="false" customHeight="true" outlineLevel="0" collapsed="false">
      <c r="B53" s="8" t="n">
        <f aca="false">'January 2026'!B55</f>
        <v>0</v>
      </c>
      <c r="C53" s="9"/>
      <c r="D53" s="9"/>
      <c r="E53" s="9" t="n">
        <f aca="false">SUM(C53:D53)</f>
        <v>0</v>
      </c>
      <c r="G53" s="9" t="n">
        <f aca="false">SUM('January 2026'!AH55,'February 2026'!AE55,'March 2026'!AH55,'April 2026'!AG55,'May 2026'!AH55,'June 2026'!AG55,'July 2026'!AH55,'August 2026'!AH55,'September 2026'!AG55,'October 2026'!AH55,'November 2026'!AG55,'December 2026'!AH55)</f>
        <v>0</v>
      </c>
      <c r="H53" s="9" t="n">
        <f aca="false">E53-G53</f>
        <v>0</v>
      </c>
      <c r="J53" s="9" t="n">
        <f aca="false">SUM(COUNTIF('January 2026'!C55:AG55,"H"),COUNTIF('February 2026'!C55:AD55,"H"),COUNTIF('March 2026'!C55:AG55,"H"),COUNTIF('April 2026'!C55:AF55,"H"),COUNTIF('May 2026'!C55:AG55,"H"),COUNTIF('June 2026'!C55:AF55,"H"),COUNTIF('July 2026'!C55:AG55,"H"),COUNTIF('August 2026'!C55:AG55,"H"),COUNTIF('September 2026'!C55:AF55,"H"),COUNTIF('October 2026'!C55:AG55,"H"),COUNTIF('November 2026'!C55:AF55,"H"),COUNTIF('December 2026'!C55:AG55,"H"))</f>
        <v>0</v>
      </c>
      <c r="K53" s="9" t="n">
        <f aca="false">SUM(COUNTIF('January 2026'!C55:AG55,"H1"),COUNTIF('February 2026'!C55:AD55,"H1"),COUNTIF('March 2026'!C55:AG55,"H1"),COUNTIF('April 2026'!C55:AF55,"H1"),COUNTIF('May 2026'!C55:AG55,"H1"),COUNTIF('June 2026'!C55:AF55,"H1"),COUNTIF('July 2026'!C55:AG55,"H1"),COUNTIF('August 2026'!C55:AG55,"H1"),COUNTIF('September 2026'!C55:AF55,"H1"),COUNTIF('October 2026'!C55:AG55,"H1"),COUNTIF('November 2026'!C55:AF55,"H1"),COUNTIF('December 2026'!C55:AG55,"H1"))</f>
        <v>0</v>
      </c>
      <c r="L53" s="9" t="n">
        <f aca="false">SUM(COUNTIF('January 2026'!C55:AG55,"H2"),COUNTIF('February 2026'!C55:AD55,"H2"),COUNTIF('March 2026'!C55:AG55,"H2"),COUNTIF('April 2026'!C55:AF55,"H2"),COUNTIF('May 2026'!C55:AG55,"H2"),COUNTIF('June 2026'!C55:AF55,"H2"),COUNTIF('July 2026'!C55:AG55,"H2"),COUNTIF('August 2026'!C55:AG55,"H2"),COUNTIF('September 2026'!C55:AF55,"H2"),COUNTIF('October 2026'!C55:AG55,"H2"),COUNTIF('November 2026'!C55:AF55,"H2"),COUNTIF('December 2026'!C55:AG55,"H2"))</f>
        <v>0</v>
      </c>
      <c r="M53" s="9" t="n">
        <f aca="false">SUM(COUNTIF('January 2026'!C55:AG55,"Q"),COUNTIF('February 2026'!C55:AD55,"Q"),COUNTIF('March 2026'!C55:AG55,"Q"),COUNTIF('April 2026'!C55:AF55,"Q"),COUNTIF('May 2026'!C55:AG55,"Q"),COUNTIF('June 2026'!C55:AF55,"Q"),COUNTIF('July 2026'!C55:AG55,"Q"),COUNTIF('August 2026'!C55:AG55,"Q"),COUNTIF('September 2026'!C55:AF55,"Q"),COUNTIF('October 2026'!C55:AG55,"Q"),COUNTIF('November 2026'!C55:AF55,"Q"),COUNTIF('December 2026'!C55:AG55,"Q"))</f>
        <v>0</v>
      </c>
      <c r="N53" s="9" t="n">
        <f aca="false">SUM(COUNTIF('January 2026'!C55:AG55,"I"),COUNTIF('February 2026'!C55:AD55,"I"),COUNTIF('March 2026'!C55:AG55,"I"),COUNTIF('April 2026'!C55:AF55,"I"),COUNTIF('May 2026'!C55:AG55,"I"),COUNTIF('June 2026'!C55:AF55,"I"),COUNTIF('July 2026'!C55:AG55,"I"),COUNTIF('August 2026'!C55:AG55,"I"),COUNTIF('September 2026'!C55:AF55,"I"),COUNTIF('October 2026'!C55:AG55,"I"),COUNTIF('November 2026'!C55:AF55,"I"),COUNTIF('December 2026'!C55:AG55,"I"))</f>
        <v>0</v>
      </c>
      <c r="O53" s="9" t="n">
        <f aca="false">SUM(COUNTIF('January 2026'!C55:AG55,"S"),COUNTIF('February 2026'!C55:AD55,"S"),COUNTIF('March 2026'!C55:AG55,"S"),COUNTIF('April 2026'!C55:AF55,"S"),COUNTIF('May 2026'!C55:AG55,"S"),COUNTIF('June 2026'!C55:AF55,"S"),COUNTIF('July 2026'!C55:AG55,"S"),COUNTIF('August 2026'!C55:AG55,"S"),COUNTIF('September 2026'!C55:AF55,"S"),COUNTIF('October 2026'!C55:AG55,"S"),COUNTIF('November 2026'!C55:AF55,"S"),COUNTIF('December 2026'!C55:AG55,"S"))</f>
        <v>0</v>
      </c>
      <c r="P53" s="9" t="n">
        <f aca="false">SUM(COUNTIF('January 2026'!C55:AG55,"M"),COUNTIF('February 2026'!C55:AD55,"M"),COUNTIF('March 2026'!C55:AG55,"M"),COUNTIF('April 2026'!C55:AF55,"M"),COUNTIF('May 2026'!C55:AG55,"M"),COUNTIF('June 2026'!C55:AF55,"M"),COUNTIF('July 2026'!C55:AG55,"M"),COUNTIF('August 2026'!C55:AG55,"M"),COUNTIF('September 2026'!C55:AF55,"M"),COUNTIF('October 2026'!C55:AG55,"M"),COUNTIF('November 2026'!C55:AF55,"M"),COUNTIF('December 2026'!C55:AG55,"M"))</f>
        <v>0</v>
      </c>
      <c r="Q53" s="9" t="n">
        <f aca="false">SUM(COUNTIF('January 2026'!C55:AG55,"C"),COUNTIF('February 2026'!C55:AD55,"C"),COUNTIF('March 2026'!C55:AG55,"C"),COUNTIF('April 2026'!C55:AF55,"C"),COUNTIF('May 2026'!C55:AG55,"C"),COUNTIF('June 2026'!C55:AF55,"C"),COUNTIF('July 2026'!C55:AG55,"C"),COUNTIF('August 2026'!C55:AG55,"C"),COUNTIF('September 2026'!C55:AF55,"C"),COUNTIF('October 2026'!C55:AG55,"C"),COUNTIF('November 2026'!C55:AF55,"C"),COUNTIF('December 2026'!C55:AG55,"C"))</f>
        <v>0</v>
      </c>
      <c r="R53" s="9" t="n">
        <f aca="false">SUM(COUNTIF('January 2026'!C55:AG55,"V"),COUNTIF('February 2026'!C55:AD55,"V"),COUNTIF('March 2026'!C55:AG55,"V"),COUNTIF('April 2026'!C55:AF55,"V"),COUNTIF('May 2026'!C55:AG55,"V"),COUNTIF('June 2026'!C55:AF55,"V"),COUNTIF('July 2026'!C55:AG55,"V"),COUNTIF('August 2026'!C55:AG55,"V"),COUNTIF('September 2026'!C55:AF55,"V"),COUNTIF('October 2026'!C55:AG55,"V"),COUNTIF('November 2026'!C55:AF55,"V"),COUNTIF('December 2026'!C55:AG55,"V"))</f>
        <v>0</v>
      </c>
      <c r="S53" s="9" t="n">
        <f aca="false">SUM(COUNTIF('January 2026'!C55:AG55,"A"),COUNTIF('February 2026'!C55:AD55,"A"),COUNTIF('March 2026'!C55:AG55,"A"),COUNTIF('April 2026'!C55:AF55,"A"),COUNTIF('May 2026'!C55:AG55,"A"),COUNTIF('June 2026'!C55:AF55,"A"),COUNTIF('July 2026'!C55:AG55,"A"),COUNTIF('August 2026'!C55:AG55,"A"),COUNTIF('September 2026'!C55:AF55,"A"),COUNTIF('October 2026'!C55:AG55,"A"),COUNTIF('November 2026'!C55:AF55,"A"),COUNTIF('December 2026'!C55:AG55,"A"))</f>
        <v>0</v>
      </c>
    </row>
    <row r="54" customFormat="false" ht="15.75" hidden="false" customHeight="false" outlineLevel="0" collapsed="false">
      <c r="B54" s="28"/>
      <c r="C54" s="28"/>
      <c r="D54" s="28"/>
      <c r="E54" s="28"/>
      <c r="F54" s="28"/>
      <c r="G54" s="28"/>
      <c r="H54" s="28"/>
    </row>
    <row r="55" customFormat="false" ht="17.25" hidden="false" customHeight="true" outlineLevel="0" collapsed="false">
      <c r="B55" s="28" t="s">
        <v>135</v>
      </c>
      <c r="C55" s="28"/>
      <c r="D55" s="28"/>
      <c r="E55" s="28"/>
      <c r="F55" s="28"/>
      <c r="G55" s="28"/>
      <c r="H55" s="28"/>
    </row>
    <row r="56" customFormat="false" ht="17.25" hidden="false" customHeight="true" outlineLevel="0" collapsed="false">
      <c r="B56" s="28" t="s">
        <v>136</v>
      </c>
      <c r="C56" s="28"/>
      <c r="D56" s="28"/>
      <c r="E56" s="28"/>
      <c r="F56" s="28"/>
      <c r="G56" s="28"/>
      <c r="H56" s="28"/>
    </row>
    <row r="57" customFormat="false" ht="17.25" hidden="false" customHeight="true" outlineLevel="0" collapsed="false">
      <c r="B57" s="29" t="s">
        <v>137</v>
      </c>
      <c r="C57" s="29"/>
      <c r="D57" s="29"/>
      <c r="E57" s="29"/>
      <c r="F57" s="29"/>
      <c r="G57" s="29"/>
      <c r="H57" s="29"/>
    </row>
    <row r="58" customFormat="false" ht="15.75" hidden="false" customHeight="false" outlineLevel="0" collapsed="false">
      <c r="B58" s="28"/>
      <c r="C58" s="28"/>
      <c r="D58" s="28"/>
      <c r="E58" s="28"/>
      <c r="F58" s="28"/>
      <c r="G58" s="28"/>
      <c r="H58" s="28"/>
    </row>
    <row r="59" customFormat="false" ht="17.25" hidden="false" customHeight="true" outlineLevel="0" collapsed="false">
      <c r="B59" s="28" t="s">
        <v>138</v>
      </c>
      <c r="C59" s="28"/>
      <c r="D59" s="28"/>
      <c r="E59" s="28"/>
      <c r="F59" s="28"/>
      <c r="G59" s="28"/>
      <c r="H59" s="28"/>
    </row>
    <row r="60" customFormat="false" ht="17.25" hidden="false" customHeight="true" outlineLevel="0" collapsed="false">
      <c r="B60" s="28" t="s">
        <v>139</v>
      </c>
      <c r="C60" s="28"/>
      <c r="D60" s="28"/>
      <c r="E60" s="28"/>
      <c r="F60" s="28"/>
      <c r="G60" s="28"/>
      <c r="H60" s="28"/>
    </row>
    <row r="61" customFormat="false" ht="33.75" hidden="false" customHeight="true" outlineLevel="0" collapsed="false">
      <c r="B61" s="28" t="s">
        <v>140</v>
      </c>
      <c r="C61" s="28"/>
      <c r="D61" s="28"/>
      <c r="E61" s="28"/>
      <c r="F61" s="28"/>
      <c r="G61" s="28"/>
      <c r="H61" s="28"/>
    </row>
    <row r="62" customFormat="false" ht="17.25" hidden="false" customHeight="true" outlineLevel="0" collapsed="false">
      <c r="B62" s="29" t="s">
        <v>87</v>
      </c>
      <c r="C62" s="29"/>
      <c r="D62" s="29"/>
      <c r="E62" s="29"/>
      <c r="F62" s="29"/>
      <c r="G62" s="29"/>
      <c r="H62" s="29"/>
    </row>
  </sheetData>
  <mergeCells count="10">
    <mergeCell ref="J2:S2"/>
    <mergeCell ref="B54:H54"/>
    <mergeCell ref="B55:H55"/>
    <mergeCell ref="B56:H56"/>
    <mergeCell ref="B57:H57"/>
    <mergeCell ref="B58:H58"/>
    <mergeCell ref="B59:H59"/>
    <mergeCell ref="B60:H60"/>
    <mergeCell ref="B61:H61"/>
    <mergeCell ref="B62:H62"/>
  </mergeCells>
  <hyperlinks>
    <hyperlink ref="B57" r:id="rId1" display="https://absentia.io/staff-holiday-planner-excel"/>
    <hyperlink ref="B62" r:id="rId2" display="https://absentia.io/staff-holiday-booking-syste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2026-01-12T15:26:23Z</dcterms:created>
  <dc:creator>Microsoft Office User</dc:creator>
  <dc:description/>
  <dc:language>en-US</dc:language>
  <cp:lastModifiedBy/>
  <dcterms:modified xsi:type="dcterms:W3CDTF">2026-06-15T13:05:36Z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